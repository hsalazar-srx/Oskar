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Oskar\context\ecn-history\"/>
    </mc:Choice>
  </mc:AlternateContent>
  <xr:revisionPtr revIDLastSave="0" documentId="8_{F1CB2DBB-D634-484B-A066-FC0642D8895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abour Routing Template" sheetId="3" r:id="rId1"/>
    <sheet name="BOM-LI_RFSoC_8X8_GNSS_V2I1(Prot" sheetId="17" r:id="rId2"/>
    <sheet name="Revision Log" sheetId="7" r:id="rId3"/>
  </sheets>
  <definedNames>
    <definedName name="_xlnm._FilterDatabase" localSheetId="0" hidden="1">'Labour Routing Template'!$A$19:$A$388</definedName>
    <definedName name="AXSRT">'Labour Routing Template'!#REF!</definedName>
    <definedName name="AXSRTSETUP">'Labour Routing Template'!#REF!</definedName>
    <definedName name="Conf">'Labour Routing Template'!$E$329</definedName>
    <definedName name="ConfMach">'Labour Routing Template'!$E$318</definedName>
    <definedName name="ConfMachSETUP">'Labour Routing Template'!$D$312</definedName>
    <definedName name="ConfMan">'Labour Routing Template'!$E$329</definedName>
    <definedName name="ConfSUp">'Labour Routing Template'!$D$323</definedName>
    <definedName name="Depanel">'Labour Routing Template'!$E$243</definedName>
    <definedName name="DIPSRT">'Labour Routing Template'!#REF!</definedName>
    <definedName name="DIPSRTSETUP">'Labour Routing Template'!#REF!</definedName>
    <definedName name="Efficiency">'Labour Routing Template'!$E$436</definedName>
    <definedName name="FCT">'Labour Routing Template'!$E$301</definedName>
    <definedName name="FCTDBg">'Labour Routing Template'!$E$307</definedName>
    <definedName name="FQA">'Labour Routing Template'!$E$369</definedName>
    <definedName name="FQC">'Labour Routing Template'!$E$358</definedName>
    <definedName name="FTCDBg">'Labour Routing Template'!$E$307</definedName>
    <definedName name="HandPb">'Labour Routing Template'!$E$218</definedName>
    <definedName name="HandPbf">'Labour Routing Template'!$E$219</definedName>
    <definedName name="ICT">'Labour Routing Template'!$E$289</definedName>
    <definedName name="ICTDBg">'Labour Routing Template'!$E$295</definedName>
    <definedName name="KITTING">'Labour Routing Template'!$E$37</definedName>
    <definedName name="MechAssy">'Labour Routing Template'!$E$346</definedName>
    <definedName name="MiscMod">'Labour Routing Template'!$E$268</definedName>
    <definedName name="Pack">'Labour Routing Template'!$E$380</definedName>
    <definedName name="PFit">'Labour Routing Template'!$E$229</definedName>
    <definedName name="PFitSUp">'Labour Routing Template'!$D$225</definedName>
    <definedName name="PREP">'Labour Routing Template'!$E$60</definedName>
    <definedName name="PREPSETUP">'Labour Routing Template'!$D$54</definedName>
    <definedName name="PREPSPEC">'Labour Routing Template'!$E$61</definedName>
    <definedName name="_xlnm.Print_Area" localSheetId="2">'Revision Log'!$A$1:$I$44</definedName>
    <definedName name="_xlnm.Print_Titles" localSheetId="1">'BOM-LI_RFSoC_8X8_GNSS_V2I1(Prot'!$1:$1</definedName>
    <definedName name="_xlnm.Print_Titles" localSheetId="0">'Labour Routing Template'!$2:$2</definedName>
    <definedName name="PROG">'Labour Routing Template'!$E$69</definedName>
    <definedName name="PTHLoad">'Labour Routing Template'!$E$158</definedName>
    <definedName name="RASRT">'Labour Routing Template'!#REF!</definedName>
    <definedName name="RASRTSETUP">'Labour Routing Template'!#REF!</definedName>
    <definedName name="RPT">'Labour Routing Template'!$E$388</definedName>
    <definedName name="RPTSUp">'Labour Routing Template'!$D$386</definedName>
    <definedName name="Screw">'Labour Routing Template'!$E$167</definedName>
    <definedName name="ScrewSETUP">'Labour Routing Template'!$D$163</definedName>
    <definedName name="Selective">'Labour Routing Template'!$E$175</definedName>
    <definedName name="SelectiveSETUP">'Labour Routing Template'!$D$171</definedName>
    <definedName name="SMTBS">'Labour Routing Template'!$E$112</definedName>
    <definedName name="SMTQA">'Labour Routing Template'!$E$139</definedName>
    <definedName name="SMTSETUP">'Labour Routing Template'!$D$84</definedName>
    <definedName name="SMTTS">'Labour Routing Template'!$E$110</definedName>
    <definedName name="TMPCYC">'Labour Routing Template'!$E$283</definedName>
    <definedName name="Wave">'Labour Routing Template'!$E$183</definedName>
    <definedName name="WaveQA">'Labour Routing Template'!$E$205</definedName>
    <definedName name="WaveSETUP">'Labour Routing Template'!$D$179</definedName>
    <definedName name="WaveTUP">'Labour Routing Template'!$E$197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3" i="3" l="1"/>
  <c r="F60" i="3"/>
  <c r="F46" i="3"/>
  <c r="F51" i="3"/>
  <c r="F36" i="3"/>
  <c r="F37" i="3" s="1"/>
  <c r="P40" i="3"/>
  <c r="P37" i="3"/>
  <c r="P32" i="3"/>
  <c r="P31" i="3"/>
  <c r="P30" i="3"/>
  <c r="P28" i="3"/>
  <c r="P27" i="3"/>
  <c r="P25" i="3"/>
  <c r="P24" i="3"/>
  <c r="P23" i="3"/>
  <c r="P22" i="3"/>
  <c r="P21" i="3"/>
  <c r="P20" i="3"/>
  <c r="F329" i="3"/>
  <c r="F318" i="3"/>
  <c r="D343" i="3"/>
  <c r="D411" i="3" s="1"/>
  <c r="F299" i="3"/>
  <c r="D299" i="3" s="1"/>
  <c r="D409" i="3" s="1"/>
  <c r="F287" i="3"/>
  <c r="D287" i="3" s="1"/>
  <c r="D408" i="3" s="1"/>
  <c r="F279" i="3"/>
  <c r="D279" i="3" s="1"/>
  <c r="D407" i="3" s="1"/>
  <c r="F271" i="3"/>
  <c r="D271" i="3" s="1"/>
  <c r="D406" i="3" s="1"/>
  <c r="F381" i="3" l="1"/>
  <c r="F382" i="3" s="1"/>
  <c r="E382" i="3" s="1"/>
  <c r="E414" i="3" s="1"/>
  <c r="F355" i="3"/>
  <c r="F302" i="3"/>
  <c r="F303" i="3" s="1"/>
  <c r="E303" i="3" s="1"/>
  <c r="F290" i="3"/>
  <c r="F291" i="3" s="1"/>
  <c r="E291" i="3" s="1"/>
  <c r="F282" i="3"/>
  <c r="F283" i="3" s="1"/>
  <c r="F274" i="3"/>
  <c r="F275" i="3" s="1"/>
  <c r="E275" i="3" s="1"/>
  <c r="E406" i="3" s="1"/>
  <c r="G406" i="3" s="1"/>
  <c r="F249" i="3"/>
  <c r="F203" i="3"/>
  <c r="F133" i="3"/>
  <c r="F135" i="3" s="1"/>
  <c r="F122" i="3"/>
  <c r="F124" i="3" s="1"/>
  <c r="F107" i="3"/>
  <c r="F234" i="3"/>
  <c r="D234" i="3" s="1"/>
  <c r="F236" i="3"/>
  <c r="D236" i="3" s="1"/>
  <c r="F130" i="3"/>
  <c r="D130" i="3" s="1"/>
  <c r="D400" i="3" s="1"/>
  <c r="E220" i="3"/>
  <c r="F221" i="3"/>
  <c r="E221" i="3" s="1"/>
  <c r="F209" i="3"/>
  <c r="D209" i="3" s="1"/>
  <c r="F150" i="3"/>
  <c r="D150" i="3" s="1"/>
  <c r="D258" i="3"/>
  <c r="F254" i="3"/>
  <c r="F256" i="3" s="1"/>
  <c r="F257" i="3" s="1"/>
  <c r="D257" i="3" s="1"/>
  <c r="F406" i="3" l="1"/>
  <c r="F358" i="3"/>
  <c r="F359" i="3"/>
  <c r="F251" i="3"/>
  <c r="E251" i="3" s="1"/>
  <c r="F375" i="3"/>
  <c r="D375" i="3" s="1"/>
  <c r="D413" i="3" s="1"/>
  <c r="E377" i="3"/>
  <c r="E413" i="3" s="1"/>
  <c r="G413" i="3" s="1"/>
  <c r="F413" i="3" l="1"/>
  <c r="F334" i="3"/>
  <c r="F335" i="3"/>
  <c r="F220" i="3"/>
  <c r="E359" i="3"/>
  <c r="F338" i="3" l="1"/>
  <c r="F340" i="3" s="1"/>
  <c r="E358" i="3"/>
  <c r="F118" i="3"/>
  <c r="D118" i="3" s="1"/>
  <c r="D399" i="3" s="1"/>
  <c r="E124" i="3"/>
  <c r="E399" i="3" s="1"/>
  <c r="G399" i="3" s="1"/>
  <c r="E135" i="3"/>
  <c r="E400" i="3" s="1"/>
  <c r="F42" i="3"/>
  <c r="D42" i="3" s="1"/>
  <c r="D394" i="3" s="1"/>
  <c r="D51" i="3"/>
  <c r="E46" i="3"/>
  <c r="E394" i="3" s="1"/>
  <c r="G394" i="3" s="1"/>
  <c r="F394" i="3" l="1"/>
  <c r="F399" i="3"/>
  <c r="G400" i="3"/>
  <c r="F400" i="3"/>
  <c r="E340" i="3"/>
  <c r="F65" i="3"/>
  <c r="D65" i="3" s="1"/>
  <c r="D396" i="3" s="1"/>
  <c r="F54" i="3"/>
  <c r="D54" i="3" s="1"/>
  <c r="D395" i="3" s="1"/>
  <c r="E37" i="3"/>
  <c r="E60" i="3"/>
  <c r="F93" i="3"/>
  <c r="F102" i="3" s="1"/>
  <c r="F74" i="3"/>
  <c r="F101" i="3"/>
  <c r="F104" i="3"/>
  <c r="F103" i="3"/>
  <c r="F179" i="3"/>
  <c r="D179" i="3" s="1"/>
  <c r="D403" i="3" s="1"/>
  <c r="F218" i="3"/>
  <c r="E218" i="3" s="1"/>
  <c r="E243" i="3"/>
  <c r="F295" i="3"/>
  <c r="E295" i="3" s="1"/>
  <c r="E408" i="3" s="1"/>
  <c r="F408" i="3" s="1"/>
  <c r="F307" i="3"/>
  <c r="E307" i="3" s="1"/>
  <c r="E409" i="3" s="1"/>
  <c r="F409" i="3" s="1"/>
  <c r="F312" i="3"/>
  <c r="D312" i="3" s="1"/>
  <c r="E283" i="3"/>
  <c r="E407" i="3" s="1"/>
  <c r="F407" i="3" s="1"/>
  <c r="F386" i="3"/>
  <c r="D386" i="3" s="1"/>
  <c r="F163" i="3"/>
  <c r="D163" i="3" s="1"/>
  <c r="D401" i="3" s="1"/>
  <c r="F69" i="3"/>
  <c r="E69" i="3" s="1"/>
  <c r="E396" i="3" s="1"/>
  <c r="F229" i="3"/>
  <c r="E229" i="3" s="1"/>
  <c r="E430" i="3"/>
  <c r="E431" i="3"/>
  <c r="E432" i="3"/>
  <c r="E433" i="3"/>
  <c r="E434" i="3"/>
  <c r="E435" i="3"/>
  <c r="D430" i="3"/>
  <c r="D431" i="3"/>
  <c r="D432" i="3"/>
  <c r="D433" i="3"/>
  <c r="D434" i="3"/>
  <c r="D435" i="3"/>
  <c r="E447" i="3"/>
  <c r="E448" i="3"/>
  <c r="E449" i="3"/>
  <c r="D448" i="3"/>
  <c r="D449" i="3"/>
  <c r="D447" i="3"/>
  <c r="D442" i="3"/>
  <c r="D441" i="3"/>
  <c r="F167" i="3"/>
  <c r="E167" i="3" s="1"/>
  <c r="F225" i="3"/>
  <c r="D225" i="3" s="1"/>
  <c r="D405" i="3" s="1"/>
  <c r="F346" i="3"/>
  <c r="E346" i="3" s="1"/>
  <c r="E411" i="3" s="1"/>
  <c r="F411" i="3" s="1"/>
  <c r="E388" i="3"/>
  <c r="F171" i="3"/>
  <c r="D171" i="3" s="1"/>
  <c r="D402" i="3" s="1"/>
  <c r="F323" i="3"/>
  <c r="D323" i="3" s="1"/>
  <c r="F219" i="3"/>
  <c r="E219" i="3" s="1"/>
  <c r="F268" i="3"/>
  <c r="E268" i="3" s="1"/>
  <c r="E139" i="3"/>
  <c r="E61" i="3"/>
  <c r="F56" i="3"/>
  <c r="F175" i="3"/>
  <c r="E175" i="3" s="1"/>
  <c r="E402" i="3" s="1"/>
  <c r="G402" i="3" s="1"/>
  <c r="F183" i="3"/>
  <c r="E183" i="3" s="1"/>
  <c r="E403" i="3" s="1"/>
  <c r="G403" i="3" s="1"/>
  <c r="F76" i="3"/>
  <c r="E441" i="3"/>
  <c r="E442" i="3"/>
  <c r="F364" i="3"/>
  <c r="F156" i="3"/>
  <c r="F158" i="3" s="1"/>
  <c r="E158" i="3" s="1"/>
  <c r="F144" i="3"/>
  <c r="F147" i="3" s="1"/>
  <c r="F106" i="3"/>
  <c r="F105" i="3"/>
  <c r="F77" i="3"/>
  <c r="F396" i="3" l="1"/>
  <c r="E412" i="3"/>
  <c r="D412" i="3"/>
  <c r="F402" i="3"/>
  <c r="F414" i="3"/>
  <c r="F403" i="3"/>
  <c r="E405" i="3"/>
  <c r="G405" i="3" s="1"/>
  <c r="E401" i="3"/>
  <c r="G401" i="3" s="1"/>
  <c r="E395" i="3"/>
  <c r="G395" i="3" s="1"/>
  <c r="D410" i="3"/>
  <c r="F368" i="3"/>
  <c r="F369" i="3" s="1"/>
  <c r="F111" i="3"/>
  <c r="E111" i="3" s="1"/>
  <c r="F110" i="3"/>
  <c r="E110" i="3" s="1"/>
  <c r="F112" i="3"/>
  <c r="E112" i="3" s="1"/>
  <c r="F113" i="3"/>
  <c r="E113" i="3" s="1"/>
  <c r="F79" i="3"/>
  <c r="F83" i="3"/>
  <c r="E318" i="3"/>
  <c r="E329" i="3"/>
  <c r="F81" i="3"/>
  <c r="G396" i="3"/>
  <c r="F80" i="3"/>
  <c r="G414" i="3"/>
  <c r="G408" i="3"/>
  <c r="G409" i="3"/>
  <c r="G407" i="3"/>
  <c r="D443" i="3"/>
  <c r="E443" i="3"/>
  <c r="F191" i="3" s="1"/>
  <c r="F193" i="3" s="1"/>
  <c r="F205" i="3" s="1"/>
  <c r="D450" i="3"/>
  <c r="G411" i="3"/>
  <c r="E393" i="3"/>
  <c r="E450" i="3"/>
  <c r="F192" i="3" s="1"/>
  <c r="E436" i="3"/>
  <c r="D436" i="3"/>
  <c r="F395" i="3" l="1"/>
  <c r="F412" i="3"/>
  <c r="F405" i="3"/>
  <c r="G393" i="3"/>
  <c r="F393" i="3"/>
  <c r="F401" i="3"/>
  <c r="E398" i="3"/>
  <c r="E397" i="3"/>
  <c r="E410" i="3"/>
  <c r="G410" i="3" s="1"/>
  <c r="F84" i="3"/>
  <c r="D84" i="3" s="1"/>
  <c r="E205" i="3"/>
  <c r="F198" i="3"/>
  <c r="E198" i="3" s="1"/>
  <c r="F197" i="3"/>
  <c r="E197" i="3" s="1"/>
  <c r="F410" i="3" l="1"/>
  <c r="G398" i="3"/>
  <c r="F398" i="3"/>
  <c r="D397" i="3"/>
  <c r="D19" i="3"/>
  <c r="E19" i="3"/>
  <c r="E404" i="3"/>
  <c r="G412" i="3"/>
  <c r="G397" i="3"/>
  <c r="G404" i="3" l="1"/>
  <c r="F404" i="3"/>
  <c r="D415" i="3"/>
  <c r="F397" i="3"/>
  <c r="E415" i="3"/>
  <c r="E17" i="3" s="1"/>
  <c r="F415" i="3" l="1"/>
  <c r="F19" i="3"/>
  <c r="G19" i="3" s="1"/>
  <c r="D17" i="3"/>
  <c r="F17" i="3" s="1"/>
  <c r="G1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Startronics (WA) Pty Limited</author>
  </authors>
  <commentList>
    <comment ref="B79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Startronics (WA) Pty Limited:</t>
        </r>
        <r>
          <rPr>
            <sz val="8"/>
            <color indexed="81"/>
            <rFont val="Tahoma"/>
            <family val="2"/>
          </rPr>
          <t xml:space="preserve">
Is multiplied by number of feeders</t>
        </r>
      </text>
    </comment>
    <comment ref="B80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Startronics (WA) Pty Limited:</t>
        </r>
        <r>
          <rPr>
            <sz val="8"/>
            <color indexed="81"/>
            <rFont val="Tahoma"/>
            <family val="2"/>
          </rPr>
          <t xml:space="preserve">
Is NOT multiplied by 4 operators in setup formula</t>
        </r>
      </text>
    </comment>
    <comment ref="B8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Startronics (WA) Pty Limited:</t>
        </r>
        <r>
          <rPr>
            <sz val="8"/>
            <color indexed="81"/>
            <rFont val="Tahoma"/>
            <family val="2"/>
          </rPr>
          <t xml:space="preserve">
Is multiplied by 4 operators in setup formula</t>
        </r>
      </text>
    </comment>
  </commentList>
</comments>
</file>

<file path=xl/sharedStrings.xml><?xml version="1.0" encoding="utf-8"?>
<sst xmlns="http://schemas.openxmlformats.org/spreadsheetml/2006/main" count="1130" uniqueCount="618">
  <si>
    <t>Section</t>
  </si>
  <si>
    <t>Page</t>
  </si>
  <si>
    <t>Date</t>
  </si>
  <si>
    <t>Description of Change</t>
  </si>
  <si>
    <t>Approved by</t>
  </si>
  <si>
    <t>Revision</t>
  </si>
  <si>
    <t>YES</t>
  </si>
  <si>
    <t>Select Cell &amp; Select from drop down menu</t>
  </si>
  <si>
    <t>TYPE OF BUILD:</t>
  </si>
  <si>
    <t>ASSUMPTIONS TO BE CONSIDERED FOR THE CUSTOMER QUOTATION:</t>
  </si>
  <si>
    <t>ONLY ENTER DARK YELLOW HIGHLIGHTED CELLS (qty)</t>
  </si>
  <si>
    <t>Non Recurring Expenditure</t>
  </si>
  <si>
    <t>Total Cost</t>
  </si>
  <si>
    <t>UNIT</t>
  </si>
  <si>
    <t>ADDITIONAL MATERIAL</t>
  </si>
  <si>
    <t>P/N
(if exists)</t>
  </si>
  <si>
    <t>Qty</t>
  </si>
  <si>
    <t>SMT Stencil TOP</t>
  </si>
  <si>
    <t>EA</t>
  </si>
  <si>
    <t>SOLDER PASTE</t>
  </si>
  <si>
    <t>grams</t>
  </si>
  <si>
    <t>KITTING:</t>
  </si>
  <si>
    <t>Notes for this quotation:</t>
  </si>
  <si>
    <t>SMT Stencil BOTTOM</t>
  </si>
  <si>
    <t>ESD BAG</t>
  </si>
  <si>
    <t>BATCH SIZE</t>
  </si>
  <si>
    <t>LABEL</t>
  </si>
  <si>
    <t>No. TYPES OF SMT PARTS</t>
  </si>
  <si>
    <t>A</t>
  </si>
  <si>
    <t>PACKING BOX</t>
  </si>
  <si>
    <t>No. TYPES OF NON-SMT PARTS</t>
  </si>
  <si>
    <t>B2</t>
  </si>
  <si>
    <t>Assembly Jigs</t>
  </si>
  <si>
    <t>TIME PER TYPE OF SMT PART</t>
  </si>
  <si>
    <t>TIME PER TYPE OF NON-SMT PART</t>
  </si>
  <si>
    <t>FORMULA:</t>
  </si>
  <si>
    <t>SETUP PER PCB</t>
  </si>
  <si>
    <t xml:space="preserve"> ((A+B1)*3 + B2*5))/BATCH SIZE</t>
  </si>
  <si>
    <t>Engineering Setup</t>
  </si>
  <si>
    <t>HR</t>
  </si>
  <si>
    <t>Wave Carriers</t>
  </si>
  <si>
    <t>ICT Fixture</t>
  </si>
  <si>
    <t>C2</t>
  </si>
  <si>
    <t>FCT Fixture</t>
  </si>
  <si>
    <t xml:space="preserve"> (B2*4)/BATCH SIZE</t>
  </si>
  <si>
    <t>Reference Unit</t>
  </si>
  <si>
    <t>RUN PER PCB</t>
  </si>
  <si>
    <t xml:space="preserve"> C2*0.1</t>
  </si>
  <si>
    <t>Profile board</t>
  </si>
  <si>
    <t>Panel</t>
  </si>
  <si>
    <t>AS REQUIRED</t>
  </si>
  <si>
    <t>Other</t>
  </si>
  <si>
    <t>No. OF PROGRAMMED PARTS</t>
  </si>
  <si>
    <t>D</t>
  </si>
  <si>
    <t>TIME PER PROGRAMMED PART</t>
  </si>
  <si>
    <t xml:space="preserve"> D*1</t>
  </si>
  <si>
    <t>No. SIDES OF PCB</t>
  </si>
  <si>
    <t>E</t>
  </si>
  <si>
    <t>TIME PER TYPE OF SMT PART (FEEDER SETUP / TEAR DOWN)</t>
  </si>
  <si>
    <t>AVE INSPECTION TIME PER COMPONENT FOR FIRST OFF</t>
  </si>
  <si>
    <t>CHANGEOVER TIME</t>
  </si>
  <si>
    <r>
      <t xml:space="preserve">CHANGEOVER SETUP TIME </t>
    </r>
    <r>
      <rPr>
        <sz val="10"/>
        <color indexed="10"/>
        <rFont val="Arial"/>
        <family val="2"/>
      </rPr>
      <t>S1</t>
    </r>
  </si>
  <si>
    <r>
      <t xml:space="preserve">FEEDER SETUP </t>
    </r>
    <r>
      <rPr>
        <sz val="10"/>
        <color indexed="10"/>
        <rFont val="Arial"/>
        <family val="2"/>
      </rPr>
      <t>S2</t>
    </r>
  </si>
  <si>
    <t xml:space="preserve"> A*5</t>
  </si>
  <si>
    <r>
      <t xml:space="preserve">FIRST-OFF TIME (PANEL) </t>
    </r>
    <r>
      <rPr>
        <sz val="10"/>
        <color indexed="10"/>
        <rFont val="Arial"/>
        <family val="2"/>
      </rPr>
      <t>S3</t>
    </r>
  </si>
  <si>
    <t xml:space="preserve"> K*E*(M+N) + L*[CP*(I+J) + IP*(G+H) + 0.4*F] + 10</t>
  </si>
  <si>
    <t>( S1+S2+S3)/BATCH SIZE</t>
  </si>
  <si>
    <t>No. SMT PLACEMENTS</t>
  </si>
  <si>
    <t>F</t>
  </si>
  <si>
    <t>No. LARGE SMT COMP. T/S</t>
  </si>
  <si>
    <t>G</t>
  </si>
  <si>
    <t>No. LARGE SMT COMP. B/S</t>
  </si>
  <si>
    <t>H</t>
  </si>
  <si>
    <t>No. CHIP (SMALL) SMT COMP. B/S</t>
  </si>
  <si>
    <t>I</t>
  </si>
  <si>
    <t>PCBs PER PANEL</t>
  </si>
  <si>
    <t>L</t>
  </si>
  <si>
    <t>No. HAND PLACED PARTS (TOP)</t>
  </si>
  <si>
    <t>HPT</t>
  </si>
  <si>
    <t>No. HAND PLACED PARTS (BOTTOM)</t>
  </si>
  <si>
    <t>HPB</t>
  </si>
  <si>
    <t>No. CHIP SMT COMP. T/S</t>
  </si>
  <si>
    <t>J</t>
  </si>
  <si>
    <t>LOAD TIME PER PANEL</t>
  </si>
  <si>
    <t>K</t>
  </si>
  <si>
    <t>NUMBER OF CHIP SHOOTERS</t>
  </si>
  <si>
    <t>M</t>
  </si>
  <si>
    <t>NUMBER OF IC PLACERS</t>
  </si>
  <si>
    <t>N</t>
  </si>
  <si>
    <t>AVE TIME PER CHIP COMPONENT</t>
  </si>
  <si>
    <t>CP</t>
  </si>
  <si>
    <t>AVE TIME PER LARGE COMPONENT</t>
  </si>
  <si>
    <t>IP</t>
  </si>
  <si>
    <t>HAND PLACEMENT TIME PER PART</t>
  </si>
  <si>
    <t>No. OPERATORS</t>
  </si>
  <si>
    <t>INDEX TIME IP T/S</t>
  </si>
  <si>
    <t xml:space="preserve"> K/L+(IP*G)/N</t>
  </si>
  <si>
    <t>INDEX TIME CP T/S</t>
  </si>
  <si>
    <t xml:space="preserve"> K/L+(CP*J)/M</t>
  </si>
  <si>
    <t>INDEX TIME IP B/S</t>
  </si>
  <si>
    <t xml:space="preserve"> K/L+(IP*H)/N</t>
  </si>
  <si>
    <t>INDEX TIME CP B/S</t>
  </si>
  <si>
    <t xml:space="preserve"> K/L+(CP*I)/M</t>
  </si>
  <si>
    <t>INDEX TIME HAND PLACE T/S</t>
  </si>
  <si>
    <t>HPT * 0.5</t>
  </si>
  <si>
    <t>INDEX TIME HAND PLACE B/S</t>
  </si>
  <si>
    <t>HPB * 0.5</t>
  </si>
  <si>
    <t>No. OP* MAX OF T/S INDEX + Eff</t>
  </si>
  <si>
    <t>No. OP* MAX OF B/S INDEX + Eff</t>
  </si>
  <si>
    <t>RUN PER PCB (ADDITIONAL SMT QA)</t>
  </si>
  <si>
    <t>SMT REWORK</t>
  </si>
  <si>
    <t>AVE TIME PER REWORK</t>
  </si>
  <si>
    <t xml:space="preserve">PERCENTAGE OF REWORK </t>
  </si>
  <si>
    <t>F * 1.0 * 0.1%</t>
  </si>
  <si>
    <t>No. HAND LOAD COMPONENTS</t>
  </si>
  <si>
    <t>Q</t>
  </si>
  <si>
    <t>AVE TIME PER PLACEMENT</t>
  </si>
  <si>
    <t>HANDLING TIME PER PANEL</t>
  </si>
  <si>
    <t>Q*0.2 + 0.5/L</t>
  </si>
  <si>
    <t>WAVE SOLDER</t>
  </si>
  <si>
    <t>SET UP / CONVERSION TIME</t>
  </si>
  <si>
    <t>30/BATCH SIZE</t>
  </si>
  <si>
    <t>NUMBER OF CARRIERS</t>
  </si>
  <si>
    <t>CYCLE TIME OF MACHINE</t>
  </si>
  <si>
    <t>WS</t>
  </si>
  <si>
    <t>WS / R / L</t>
  </si>
  <si>
    <t>No. PTH LEADS</t>
  </si>
  <si>
    <t>PTHW</t>
  </si>
  <si>
    <t>ARE B/S SMT COMPONENTS WAVE SOLDERED (e.g. glue)?  OR NOT (e.g. selective pallet)</t>
  </si>
  <si>
    <t>PTH COMPONENTS ONLY (or selective pallet)</t>
  </si>
  <si>
    <t>No. B/S SMT COMPONENTS (x2 solder joints)</t>
  </si>
  <si>
    <t>(H + I) x2</t>
  </si>
  <si>
    <t>AVE TIME PER TOUCH UP</t>
  </si>
  <si>
    <t>AVE TIME PER INSPECTION</t>
  </si>
  <si>
    <t>(Q + B/S COMP x2) * 0.015</t>
  </si>
  <si>
    <t>HAND ASSEMBLY / SOLDERING</t>
  </si>
  <si>
    <t>No. HAND ASSEMBLED COMPONENTS</t>
  </si>
  <si>
    <t>S</t>
  </si>
  <si>
    <t>No. TH LEADS SOLDERED</t>
  </si>
  <si>
    <t>T</t>
  </si>
  <si>
    <t>AVE TIME TO SOLDER TH LEAD (Leaded process)</t>
  </si>
  <si>
    <t>AVE TIME TO SOLDER TH LEAD (Lead-Free process)</t>
  </si>
  <si>
    <t>RUN PER PCB (Leaded Process)</t>
  </si>
  <si>
    <t>S*0.2 + T*0.1</t>
  </si>
  <si>
    <t>RUN PER PCB (Lead-Free Process)</t>
  </si>
  <si>
    <t>S*0.2 + T*0.2</t>
  </si>
  <si>
    <t>MISCELLANEOUS / MODIFICATIONS</t>
  </si>
  <si>
    <t>Examples:</t>
  </si>
  <si>
    <t>Guidelines:</t>
  </si>
  <si>
    <t>KYNAR WIRE LINK</t>
  </si>
  <si>
    <t>2.0 minutes</t>
  </si>
  <si>
    <t>RADIAL COMP. ONTO LEAD</t>
  </si>
  <si>
    <t>3.0 minutes</t>
  </si>
  <si>
    <t>CUT TRACK</t>
  </si>
  <si>
    <t>0.5 minutes</t>
  </si>
  <si>
    <t>IC INTO SOCKET</t>
  </si>
  <si>
    <t>0.2 minutes</t>
  </si>
  <si>
    <t>ADDITIONAL TIME DUE TO GROUND PLANES / DIFFICULT COMPONENTS</t>
  </si>
  <si>
    <t>Specify Nature of Work here</t>
  </si>
  <si>
    <t>ICT</t>
  </si>
  <si>
    <t>Test engineering to advise</t>
  </si>
  <si>
    <t>ICT DEBUG / RETURNS</t>
  </si>
  <si>
    <t>FAILURE RATE</t>
  </si>
  <si>
    <t>FCT</t>
  </si>
  <si>
    <t>FCT DEBUG / RETURNS</t>
  </si>
  <si>
    <t>CONFORMAL COATING (machine)</t>
  </si>
  <si>
    <t>SETUP TIME</t>
  </si>
  <si>
    <t>Includes setup for curing</t>
  </si>
  <si>
    <t>15/BATCH SIZE</t>
  </si>
  <si>
    <r>
      <t>MASKING</t>
    </r>
    <r>
      <rPr>
        <i/>
        <sz val="10"/>
        <rFont val="Arial"/>
        <family val="2"/>
      </rPr>
      <t>/DEMASKING</t>
    </r>
    <r>
      <rPr>
        <sz val="10"/>
        <rFont val="Arial"/>
        <family val="2"/>
      </rPr>
      <t xml:space="preserve"> (if required)</t>
    </r>
  </si>
  <si>
    <t>U1</t>
  </si>
  <si>
    <t>No. SIDES TO BE COATED</t>
  </si>
  <si>
    <t>1 OR 2</t>
  </si>
  <si>
    <t>U1 + (1 OR 2)*2.5/L</t>
  </si>
  <si>
    <t>CONFORMAL COATING (manual)</t>
  </si>
  <si>
    <t>U2</t>
  </si>
  <si>
    <t>U2 + (1 OR 2)*2.5/L</t>
  </si>
  <si>
    <t>DEPANEL</t>
  </si>
  <si>
    <t>TOTAL NUMBER OF PRESSFIT CONNECTORS</t>
  </si>
  <si>
    <t>O</t>
  </si>
  <si>
    <t>TIME PER CONNECTOR</t>
  </si>
  <si>
    <t xml:space="preserve"> O*0.4</t>
  </si>
  <si>
    <t>MECHANICAL ASSEMBLY</t>
  </si>
  <si>
    <t>MISCELLANEOUS MECH ASSY</t>
  </si>
  <si>
    <t>MA</t>
  </si>
  <si>
    <t>V * 0.27 + MA</t>
  </si>
  <si>
    <t>FINAL QC</t>
  </si>
  <si>
    <t>TOTAL NUMBER OF COMPONENTS</t>
  </si>
  <si>
    <t>W</t>
  </si>
  <si>
    <t>HANDLING</t>
  </si>
  <si>
    <t>X</t>
  </si>
  <si>
    <t>STANDARD INSPECTION TIME PER COMP</t>
  </si>
  <si>
    <t>X + W * 0.003</t>
  </si>
  <si>
    <t>FINAL QA</t>
  </si>
  <si>
    <t>FQA SAMPLE</t>
  </si>
  <si>
    <t>(X + W * 0.003) * 20%</t>
  </si>
  <si>
    <t>REPORTING (ERP / SFDC)</t>
  </si>
  <si>
    <t>SETUP PER PCB (ERP REPORTING)</t>
  </si>
  <si>
    <t>5/BATCH SIZE</t>
  </si>
  <si>
    <t>RUN PER UNIT (SFDC REPORTING)</t>
  </si>
  <si>
    <t>OBA</t>
  </si>
  <si>
    <t>OBA INSPECTION TIME</t>
  </si>
  <si>
    <t>OBA SAMPLE</t>
  </si>
  <si>
    <t>negligible, so omit</t>
  </si>
  <si>
    <t>EFFICIENCY RATING:</t>
  </si>
  <si>
    <t>WAVE PROCESS</t>
  </si>
  <si>
    <t>SMT GLUE plus PTH</t>
  </si>
  <si>
    <t>WAVE SUITABILITY (DFM) EVALUATION</t>
  </si>
  <si>
    <t>NO</t>
  </si>
  <si>
    <t>Operation No</t>
  </si>
  <si>
    <t>Work Center</t>
  </si>
  <si>
    <t>KIT</t>
  </si>
  <si>
    <t>TOTAL</t>
  </si>
  <si>
    <t xml:space="preserve">                                                                                                          REVISION LOG </t>
  </si>
  <si>
    <t>PREP</t>
  </si>
  <si>
    <t>PROG</t>
  </si>
  <si>
    <t>SMTTS</t>
  </si>
  <si>
    <t>SMTSS</t>
  </si>
  <si>
    <t>MANASY</t>
  </si>
  <si>
    <t>TCHUP</t>
  </si>
  <si>
    <t>CONF</t>
  </si>
  <si>
    <t>FINASS</t>
  </si>
  <si>
    <t>TMPCYC</t>
  </si>
  <si>
    <t>QA</t>
  </si>
  <si>
    <t>PACK</t>
  </si>
  <si>
    <t>Kitting</t>
  </si>
  <si>
    <t>0 = No Wave, 5 = Wave</t>
  </si>
  <si>
    <t>HEAT SOAK /
THERMAL CYCLING</t>
  </si>
  <si>
    <t>OTHER PROCESSES (EG CLEANING)</t>
  </si>
  <si>
    <t>SUITABILITY TO TH SOLDERING PROCESS (DFM) EVALUATION</t>
  </si>
  <si>
    <t>MINOR DFM ISSUES (for WAVE/SELECTIVE)</t>
  </si>
  <si>
    <t>MAJOR DFM ISSUES (for WAVE/SELECTIVE)</t>
  </si>
  <si>
    <t>SUITABLE FOR WAVE/SELECTIVE</t>
  </si>
  <si>
    <t>SELECTIVE SOLDER</t>
  </si>
  <si>
    <t>SS</t>
  </si>
  <si>
    <t>SS / R / L</t>
  </si>
  <si>
    <t>NUMBER OF HEADS</t>
  </si>
  <si>
    <t>0 = No Selective, 1 = 1 Head,  2 = Dual Head</t>
  </si>
  <si>
    <t>SMT &amp; INSPECTION</t>
  </si>
  <si>
    <t>ICT / FLYING PROBE</t>
  </si>
  <si>
    <t>Labour</t>
  </si>
  <si>
    <t>Setup</t>
  </si>
  <si>
    <t>A*3</t>
  </si>
  <si>
    <t>PRESSFIT</t>
  </si>
  <si>
    <t>SCREW/RIVETING</t>
  </si>
  <si>
    <t>TOTAL NUMBER OF SCREWS/RIVETS</t>
  </si>
  <si>
    <t>TIME PER SCREW/RIVET</t>
  </si>
  <si>
    <t>Grand Total (Minutes)</t>
  </si>
  <si>
    <t>SAMPLING RATE</t>
  </si>
  <si>
    <t>LABELS</t>
  </si>
  <si>
    <t>ONLY ENTER PURPLE HIGH-LIGHTED CELLS (time in minutes)</t>
  </si>
  <si>
    <t>TOTAL TIME PER (Quote)</t>
  </si>
  <si>
    <t>TOTAL TIME PER (Movex)</t>
  </si>
  <si>
    <t>1.0</t>
  </si>
  <si>
    <t>2.0</t>
  </si>
  <si>
    <t>16/10/09</t>
  </si>
  <si>
    <t>Overall update, change number to MEL</t>
  </si>
  <si>
    <t>revision update to shown total time in Hrs.</t>
  </si>
  <si>
    <t>22/05/12</t>
  </si>
  <si>
    <t>Nick N</t>
  </si>
  <si>
    <t>Daniel C</t>
  </si>
  <si>
    <t>30/01/13</t>
  </si>
  <si>
    <t>3.0</t>
  </si>
  <si>
    <t>Revision update to show Movex time in Hr instead of quoted Time in cell E12</t>
  </si>
  <si>
    <t>Branko Polak</t>
  </si>
  <si>
    <t>IC PROGRAMMING:</t>
  </si>
  <si>
    <t>PREP TIME TIME PER NON-SMT PART</t>
  </si>
  <si>
    <r>
      <t xml:space="preserve">SETUP TIME PER </t>
    </r>
    <r>
      <rPr>
        <u/>
        <sz val="10"/>
        <rFont val="Arial"/>
        <family val="2"/>
      </rPr>
      <t>TYPE</t>
    </r>
    <r>
      <rPr>
        <sz val="10"/>
        <rFont val="Arial"/>
        <family val="2"/>
      </rPr>
      <t xml:space="preserve"> OF NON-SMT PART</t>
    </r>
  </si>
  <si>
    <r>
      <t xml:space="preserve">No. </t>
    </r>
    <r>
      <rPr>
        <u/>
        <sz val="10"/>
        <rFont val="Arial"/>
        <family val="2"/>
      </rPr>
      <t>TYPES</t>
    </r>
    <r>
      <rPr>
        <sz val="10"/>
        <rFont val="Arial"/>
        <family val="2"/>
      </rPr>
      <t xml:space="preserve"> OF NON-SMT PARTS (other)</t>
    </r>
  </si>
  <si>
    <t>Operation Description (example)</t>
  </si>
  <si>
    <t>SETUP PER PCB (Machine Labelling)</t>
  </si>
  <si>
    <t>SETUP TIME (Manual Labelling)</t>
  </si>
  <si>
    <t>SETUP TIME (Machine Labelling)</t>
  </si>
  <si>
    <t>AOI:</t>
  </si>
  <si>
    <t>X-RAY:</t>
  </si>
  <si>
    <t>SMT QA:</t>
  </si>
  <si>
    <t>No. OF PARTS TO X-RAY</t>
  </si>
  <si>
    <t>TIME PER X-RAY PART</t>
  </si>
  <si>
    <t>PRODUCT INFORMATION:</t>
  </si>
  <si>
    <t>SFDC REQUIRED</t>
  </si>
  <si>
    <t>PTS REQUIRED</t>
  </si>
  <si>
    <t>LEAD FREE / SFDC / PTS</t>
  </si>
  <si>
    <t>Class 2</t>
  </si>
  <si>
    <t>Class 3</t>
  </si>
  <si>
    <t>IPC STANDARD</t>
  </si>
  <si>
    <t>LEAD FREE PROCESS</t>
  </si>
  <si>
    <t>Shop Floor Data Collection</t>
  </si>
  <si>
    <t>Parts Traceability System</t>
  </si>
  <si>
    <t>(RoHS Compliant = Lead Free)</t>
  </si>
  <si>
    <t>This line not used, as "RUN PER PCB" formula changed to add all hand placements above the tact time, not only if it's a bottle-neck.</t>
  </si>
  <si>
    <t>RUN T/S PER PCB (x No. of Operator)</t>
  </si>
  <si>
    <t>RUN B/S PER PCB (x No. of Operator)</t>
  </si>
  <si>
    <t>MASKING/DEMASKING (if required)</t>
  </si>
  <si>
    <t>WAVE INSPECTION</t>
  </si>
  <si>
    <t>WAVE TOUCH UP</t>
  </si>
  <si>
    <t>MACHINE WASH</t>
  </si>
  <si>
    <t>HANDLING TIME PER PCB</t>
  </si>
  <si>
    <t>No. OF COATS PER SIDE</t>
  </si>
  <si>
    <t>10 sec</t>
  </si>
  <si>
    <t>TIME PER V-GROOVE</t>
  </si>
  <si>
    <t>TIME PER MOUSE BITE</t>
  </si>
  <si>
    <t>STANDARD INSPECTION TIME PER COMP (IPC CLASS 1 &amp; 2)</t>
  </si>
  <si>
    <t>STANDARD INSPECTION TIME PER COMP (IPC CLASS 3)</t>
  </si>
  <si>
    <t>RUN PER PCB (IPC CLASS 2)</t>
  </si>
  <si>
    <t>RUN PER PCB (IPC CLASS 3)</t>
  </si>
  <si>
    <t>Standard 20%, No Testing 100%</t>
  </si>
  <si>
    <t>RUN INEFFICIENCY (Class 2)</t>
  </si>
  <si>
    <t>RUN INEFFICIENCY (Class 3)</t>
  </si>
  <si>
    <t>RUN T/S PER PCB (Class 3)</t>
  </si>
  <si>
    <t>PERCENTAGE OF TOUCH UP Class 2</t>
  </si>
  <si>
    <t>PERCENTAGE OF TOUCH UP Class 3</t>
  </si>
  <si>
    <t>RUN PER PCB (Class 2)</t>
  </si>
  <si>
    <t>RUN PER PCB (Class 3)</t>
  </si>
  <si>
    <t>CONFORMAL COATING INSPECTION &amp; TOUCH-UP</t>
  </si>
  <si>
    <t>No. OF SMT COMPONENTS</t>
  </si>
  <si>
    <t>No. OF TH COMPONENTS</t>
  </si>
  <si>
    <t>UPH</t>
  </si>
  <si>
    <t>UPH for SMT is divided by number of operators.</t>
  </si>
  <si>
    <t>SETUP PER PCB (COC)</t>
  </si>
  <si>
    <t>SETUP TIME (ERP REPORTING)</t>
  </si>
  <si>
    <t>SETUP TIME (COC)</t>
  </si>
  <si>
    <t>PAPERWORK (COC / DHR)</t>
  </si>
  <si>
    <t>RUN PER UNIT (DHR)</t>
  </si>
  <si>
    <t>COC REQUIRED</t>
  </si>
  <si>
    <t>WAVE</t>
  </si>
  <si>
    <t>AOI</t>
  </si>
  <si>
    <t>HLOAD</t>
  </si>
  <si>
    <t>XRAY</t>
  </si>
  <si>
    <t>SELCTV</t>
  </si>
  <si>
    <t>WASH</t>
  </si>
  <si>
    <t>X-Ray Inspection</t>
  </si>
  <si>
    <t>Automated Optical Inspection</t>
  </si>
  <si>
    <t>Wave Solder</t>
  </si>
  <si>
    <t>Selective Solder</t>
  </si>
  <si>
    <t>Machine Wash</t>
  </si>
  <si>
    <t>Machine Labelling</t>
  </si>
  <si>
    <t>PACKING &amp; DISPATCH</t>
  </si>
  <si>
    <t>PTS SCANNING TIME</t>
  </si>
  <si>
    <t>PTS SCANNING PER TYPE OF SMT PART</t>
  </si>
  <si>
    <t>PTS SCANNING PER TYPE OF NON-SMT PART</t>
  </si>
  <si>
    <t>MISCELLANEOUS SETUP PER BATCH</t>
  </si>
  <si>
    <t>RUN PER PCB (Leaded Class 3)</t>
  </si>
  <si>
    <t>RUN PER PCB (Lead-Free Class 3)</t>
  </si>
  <si>
    <t>RUN B/S PER PCB (Class 3)</t>
  </si>
  <si>
    <t>CHANGE SIDES TIME</t>
  </si>
  <si>
    <t>TIME PER PANEL FOR AOI</t>
  </si>
  <si>
    <t>AVE TIME TO SOLDER TH LEAD (Class 3 - Leaded)</t>
  </si>
  <si>
    <t>AVE TIME TO SOLDER TH LEAD (Class 3 - Lead-Free)</t>
  </si>
  <si>
    <t>No. OF PRINTED LABELS ( Printing Only - To be Applied Later)</t>
  </si>
  <si>
    <t>Printing TIME PER PRINTED LABEL</t>
  </si>
  <si>
    <t>Printing TIME PER AUTO LABELS</t>
  </si>
  <si>
    <t>SFDC SCANNING TIME PER PCB</t>
  </si>
  <si>
    <t>SFDC SCANNING TIME</t>
  </si>
  <si>
    <t>TEST TIME INCLUDING HANDLING</t>
  </si>
  <si>
    <t>PACKING TIME PER PCB</t>
  </si>
  <si>
    <t>PTS SPLITTING / LABELLING NON-SMT PARTS</t>
  </si>
  <si>
    <t>SETUP TIME V-GROOVE CUTTER</t>
  </si>
  <si>
    <t>SETUP TIME MOUSE-BITE CUTTTER</t>
  </si>
  <si>
    <t>Standard 20%</t>
  </si>
  <si>
    <t>MECHANICAL ASSY SETUP PER BATCH</t>
  </si>
  <si>
    <t>Hide?</t>
  </si>
  <si>
    <t>Post Wave Touch Up</t>
  </si>
  <si>
    <t>(Hrs)</t>
  </si>
  <si>
    <t xml:space="preserve">CUSTOMER: </t>
  </si>
  <si>
    <t xml:space="preserve">PRODUCT PART NUMBER: </t>
  </si>
  <si>
    <t xml:space="preserve">PRODUCT DESCRIPTION: </t>
  </si>
  <si>
    <t xml:space="preserve">SRX STOCK CODE: </t>
  </si>
  <si>
    <t xml:space="preserve">QUOTE NUMBER: </t>
  </si>
  <si>
    <t xml:space="preserve">PREPARED BY: </t>
  </si>
  <si>
    <t xml:space="preserve">DATE: </t>
  </si>
  <si>
    <t>SMT Second Side</t>
  </si>
  <si>
    <t>PCFA / Manual Assembly</t>
  </si>
  <si>
    <t>Functional Test</t>
  </si>
  <si>
    <t>Conformal Coating</t>
  </si>
  <si>
    <t>Final / Mechanical Assembly</t>
  </si>
  <si>
    <t>Packing &amp; Reporting</t>
  </si>
  <si>
    <t>x</t>
  </si>
  <si>
    <t>PTS SETUP PER PCB</t>
  </si>
  <si>
    <t>Panelisation</t>
  </si>
  <si>
    <t>COATING TIME PER PCB PER SIDE FOR ONE COAT</t>
  </si>
  <si>
    <t>Selecting Class 3: Increases "Final QC Standard Inspection Time Per Component" and "SMT Run Inefficiency" and "Wave Percentage of Touch-Up" and "Hand Assembly Average Time to Solder TH Lead"</t>
  </si>
  <si>
    <t>Cell Guidelines</t>
  </si>
  <si>
    <t>Selecting Lead Free: Increases "Hand Assembly Average Time to Solder TH Lead"</t>
  </si>
  <si>
    <t>Adds 10 sec scanning time per PCB at various operations.</t>
  </si>
  <si>
    <t>Adds to Kitting, SMT, and Manual Assy setup times to allow for labelling and scanning items into PTS.</t>
  </si>
  <si>
    <t>This cell only to print labels at prepping.  Time to apply label needs to be allowed for at later process.</t>
  </si>
  <si>
    <t>Verification/adjustment required by Engineer</t>
  </si>
  <si>
    <t>Estimate this quantity - formula will calculate for top side</t>
  </si>
  <si>
    <t>Standard QA captured in SMT time</t>
  </si>
  <si>
    <t>Additional inspection (if required) can be added here.   Normal SMT inspection is already in the run time</t>
  </si>
  <si>
    <t>Total masking/demasking time</t>
  </si>
  <si>
    <t>Enter any other miscellaneous SETUP time PER BATCH (eg, jigs, tooling, special equipment, etc..) - This value will be divided by "batch size" in the total.</t>
  </si>
  <si>
    <t>Include handling time</t>
  </si>
  <si>
    <t>Enter any SETUP time PER BATCH (eg, jigs, tooling, special equipment, etc..) - This value will be divided by "batch size" in the total.</t>
  </si>
  <si>
    <t>Standard QC sampling is 20%.  If there is no testing allow 100% sampling as minimum.  If there is multiple QC inspection points adjust sampling as required.</t>
  </si>
  <si>
    <t>Guideline 0.5 - 2 minutes per PCBA</t>
  </si>
  <si>
    <t>Guideline 0.5 per PCBA</t>
  </si>
  <si>
    <t>Decreased to match FQC.  Trials show 20 sec per part</t>
  </si>
  <si>
    <t>MANUAL VERIFICATION</t>
  </si>
  <si>
    <t>Add additional time if required for operator manual verification</t>
  </si>
  <si>
    <t>ADDITIONAL INSPECTION</t>
  </si>
  <si>
    <t>Add any additional non-standard inspection / touch-up required post wave.</t>
  </si>
  <si>
    <t>Add any additional non-standard inspection required post PCF / Manual Assembly.</t>
  </si>
  <si>
    <t>PCF / MANUAL ASSY INSPECTION</t>
  </si>
  <si>
    <t>Add any additional non-standard inspection &amp; conformal coating touch-up required post conformal coating.</t>
  </si>
  <si>
    <t>Add any additional non-standard QC inspection time required.</t>
  </si>
  <si>
    <t>ADDITIONAL QC INSPECTION</t>
  </si>
  <si>
    <t>This time not in use (not added to total time).  If required need to add formula in column "E".</t>
  </si>
  <si>
    <t>If boards not in panel during selective solder, enter number of boards per pallet.</t>
  </si>
  <si>
    <t>If boards not in panel during wave solder, enter number of boards per pallet.</t>
  </si>
  <si>
    <t>Unit Cost</t>
  </si>
  <si>
    <t>Note: In this cell enter time per PANEL / PALLET!</t>
  </si>
  <si>
    <t>Note: Enter here number of v-grooves per PANEL!</t>
  </si>
  <si>
    <t>Note: Enter here number of mouse-bites per PANEL!</t>
  </si>
  <si>
    <t>PTS SPLITTING / LABELLING NON-SMT PARTS TIME PER PART</t>
  </si>
  <si>
    <t>Reformat and udpate entire worksheet.  Add &amp; delete various sections to better match current SRX Melbourne processes.</t>
  </si>
  <si>
    <t>No. OF AUTO APPLIED LABELS (MACHINE LABELLING)</t>
  </si>
  <si>
    <t>LABEL PRINTING (MACHINE):</t>
  </si>
  <si>
    <t>This cell for labels that are auto printed and placed by labelling machine.  For manually applied labels enter under prepping section.</t>
  </si>
  <si>
    <t>COMPONENT PREPPING &amp; LABEL PRINTING:</t>
  </si>
  <si>
    <t>SETUP PER PCB (Label Printing)</t>
  </si>
  <si>
    <t>SETUP PER PCB (Prepping)</t>
  </si>
  <si>
    <t>Prepping &amp; Label Printing</t>
  </si>
  <si>
    <t>IC Programming</t>
  </si>
  <si>
    <t>Head Soak / Thermal Cycle</t>
  </si>
  <si>
    <t>COC</t>
  </si>
  <si>
    <t>SMT First Side</t>
  </si>
  <si>
    <t>Hand Insert / Screw / Rivet</t>
  </si>
  <si>
    <t>QC Inspection</t>
  </si>
  <si>
    <r>
      <t xml:space="preserve">CYCLE TIME PER </t>
    </r>
    <r>
      <rPr>
        <b/>
        <sz val="10"/>
        <color rgb="FFFF0000"/>
        <rFont val="Arial"/>
        <family val="2"/>
      </rPr>
      <t>PANEL / PALLET</t>
    </r>
  </si>
  <si>
    <r>
      <t xml:space="preserve">PCBs PER </t>
    </r>
    <r>
      <rPr>
        <b/>
        <sz val="10"/>
        <color rgb="FFFF0000"/>
        <rFont val="Arial"/>
        <family val="2"/>
      </rPr>
      <t>PANEL / PALLET</t>
    </r>
  </si>
  <si>
    <r>
      <t xml:space="preserve">No. OF V-GROOVE </t>
    </r>
    <r>
      <rPr>
        <b/>
        <sz val="10"/>
        <color rgb="FFFF0000"/>
        <rFont val="Arial"/>
        <family val="2"/>
      </rPr>
      <t>PER PANEL</t>
    </r>
  </si>
  <si>
    <r>
      <t xml:space="preserve">No. OF MOUSE-BITE </t>
    </r>
    <r>
      <rPr>
        <b/>
        <sz val="10"/>
        <color rgb="FFFF0000"/>
        <rFont val="Arial"/>
        <family val="2"/>
      </rPr>
      <t>PER PANEL</t>
    </r>
  </si>
  <si>
    <t>TOTAL No. OF NON-SMT PARTS REQUIRING PREP</t>
  </si>
  <si>
    <t>RUN PER PCB (ADDITIONAL PREP)</t>
  </si>
  <si>
    <t>For non-standard prep components, or minor sub-assembly done at prepping area.</t>
  </si>
  <si>
    <t>For standard prep parts (lead trimming, bending, etc.).</t>
  </si>
  <si>
    <t>Prepared By</t>
  </si>
  <si>
    <t>Lawrence Chan</t>
  </si>
  <si>
    <t>Nick Niculita</t>
  </si>
  <si>
    <t>CoC / DHR</t>
  </si>
  <si>
    <t>ICT / Flying Probe</t>
  </si>
  <si>
    <t>Setup Time (min)</t>
  </si>
  <si>
    <t>Run Time [min]</t>
  </si>
  <si>
    <t>Added total time to Movex routing template at bottom of spreadsheet - required for Movex route upload.</t>
  </si>
  <si>
    <t>Total Time (Movex Run Time)</t>
  </si>
  <si>
    <r>
      <t>HAND INSERT (</t>
    </r>
    <r>
      <rPr>
        <b/>
        <u/>
        <sz val="10"/>
        <color indexed="13"/>
        <rFont val="Arial"/>
        <family val="2"/>
      </rPr>
      <t>THROUGH HOLE</t>
    </r>
    <r>
      <rPr>
        <b/>
        <u/>
        <sz val="12"/>
        <color indexed="13"/>
        <rFont val="Arial"/>
        <family val="2"/>
      </rPr>
      <t>)</t>
    </r>
  </si>
  <si>
    <t>* Renamed PTH HAND LOAD to HAND INSERT (THROUGH HOLE).
* Update formula so that REPORTING (ERP / SFDC) time gets added to QA in Movex route, not to Packing.</t>
  </si>
  <si>
    <t>Inspection Template BOTTOM</t>
  </si>
  <si>
    <t>Currency AUD/USD</t>
  </si>
  <si>
    <t>Doc No.: PFM-0005-MEL Rev 7.0</t>
  </si>
  <si>
    <t xml:space="preserve">REVIEWED BY: </t>
  </si>
  <si>
    <t>Proto</t>
  </si>
  <si>
    <t>Pilot</t>
  </si>
  <si>
    <t>Low Vol</t>
  </si>
  <si>
    <t>Med Vol</t>
  </si>
  <si>
    <t>High Vol</t>
  </si>
  <si>
    <t>Cont</t>
  </si>
  <si>
    <t>Batch Size</t>
  </si>
  <si>
    <t>Labour Hours</t>
  </si>
  <si>
    <t>Generates labour hours for batch sizes</t>
  </si>
  <si>
    <t>Branko Polak
Joshua Kerridge</t>
  </si>
  <si>
    <r>
      <t xml:space="preserve">ADDITIONAL TIME FOR NON-STANDARD PROCESS </t>
    </r>
    <r>
      <rPr>
        <b/>
        <sz val="10"/>
        <color rgb="FFFF0000"/>
        <rFont val="Arial"/>
        <family val="2"/>
      </rPr>
      <t>PER PANEL</t>
    </r>
  </si>
  <si>
    <t>Added currency column for NRE, Added Reviewed By field in header, Added formatting to Movex routing table to highlight cells with values &gt; 0.  Added automation table for multiple batch sizes in header.</t>
  </si>
  <si>
    <t>Liquid Instruments</t>
  </si>
  <si>
    <t>AUD</t>
  </si>
  <si>
    <t>Designator</t>
  </si>
  <si>
    <t>Quantity</t>
  </si>
  <si>
    <t>Manufacturer 1</t>
  </si>
  <si>
    <t/>
  </si>
  <si>
    <t>Yageo</t>
  </si>
  <si>
    <t>RC0402FR-07100KL</t>
  </si>
  <si>
    <t>Texas Instruments</t>
  </si>
  <si>
    <t>smd</t>
  </si>
  <si>
    <t>IC</t>
  </si>
  <si>
    <t>C P/N</t>
  </si>
  <si>
    <t>Comment</t>
  </si>
  <si>
    <t>Description</t>
  </si>
  <si>
    <t>Footprint</t>
  </si>
  <si>
    <t>LoadStatus</t>
  </si>
  <si>
    <t>Category</t>
  </si>
  <si>
    <t>Manufacturer 1 Part Number</t>
  </si>
  <si>
    <t>Manufacturer 2</t>
  </si>
  <si>
    <t>Manufacturer 2 Part Number</t>
  </si>
  <si>
    <t>Load</t>
  </si>
  <si>
    <t>Capacitors</t>
  </si>
  <si>
    <t>Murata Electronics</t>
  </si>
  <si>
    <t>1uF</t>
  </si>
  <si>
    <t>C0402</t>
  </si>
  <si>
    <t>111-0800</t>
  </si>
  <si>
    <t>100nF</t>
  </si>
  <si>
    <t>CAP CER 0.1uF 16V X7S 0201</t>
  </si>
  <si>
    <t>C0201</t>
  </si>
  <si>
    <t>GRM033C71C104KE14D</t>
  </si>
  <si>
    <t>47uF</t>
  </si>
  <si>
    <t>CAP CER 47uF 10V X5R 0805</t>
  </si>
  <si>
    <t>C0805</t>
  </si>
  <si>
    <t>GRM21BR61A476ME15L</t>
  </si>
  <si>
    <t>RD-111-0003</t>
  </si>
  <si>
    <t>10nF</t>
  </si>
  <si>
    <t>CAP CER 10000pF 50V X7R 0402</t>
  </si>
  <si>
    <t>GRM155R71H103KA88J</t>
  </si>
  <si>
    <t>TVS - Diodes</t>
  </si>
  <si>
    <t>Resistors</t>
  </si>
  <si>
    <t>YAGEO</t>
  </si>
  <si>
    <t>R0402</t>
  </si>
  <si>
    <t>1k</t>
  </si>
  <si>
    <t>RD-101-0013</t>
  </si>
  <si>
    <t>100k</t>
  </si>
  <si>
    <t>RES SMD 100K OHM 1% 1/16W 0402</t>
  </si>
  <si>
    <t>RES SMD 1K OHM 1% 1/16W 0402</t>
  </si>
  <si>
    <t>RC0402FR-071KL</t>
  </si>
  <si>
    <t>CAP CER 0.1uF 50V X7R 0402</t>
  </si>
  <si>
    <t>GRM155R71H104ME14J</t>
  </si>
  <si>
    <t>RD-111-0058</t>
  </si>
  <si>
    <t>CAP CER 1uF 10V X7R 0402</t>
  </si>
  <si>
    <t>GRM155Z71A105KE01J</t>
  </si>
  <si>
    <t>Littelfuse Inc.</t>
  </si>
  <si>
    <t>GNSS PCBA</t>
  </si>
  <si>
    <t>MA-EE-AS00015
04_LI_GNSS</t>
  </si>
  <si>
    <t>22nF</t>
  </si>
  <si>
    <t>CAP FEEDTHRU 0.022UF 50V 1206</t>
  </si>
  <si>
    <t>C1</t>
  </si>
  <si>
    <t>NFM31PC/31KC</t>
  </si>
  <si>
    <t>NFM31HK223R1H3L</t>
  </si>
  <si>
    <t>C2, C10, C13, C14, C16, C17, C18</t>
  </si>
  <si>
    <t>C3, C4, C6, C7, C8, C9</t>
  </si>
  <si>
    <t>47pF</t>
  </si>
  <si>
    <t>CAP CER 47pF 50V C0G/NP0 0402</t>
  </si>
  <si>
    <t>C5, C15</t>
  </si>
  <si>
    <t>GCM1555C1H470JA16D</t>
  </si>
  <si>
    <t>C11, C12</t>
  </si>
  <si>
    <t>C19, C24</t>
  </si>
  <si>
    <t>C20, C21, C22, C23</t>
  </si>
  <si>
    <t>PESD0402-140</t>
  </si>
  <si>
    <t>TVS DIODE 14VWM 40VC 0402</t>
  </si>
  <si>
    <t>D1, D2, D3</t>
  </si>
  <si>
    <t>PESD0402</t>
  </si>
  <si>
    <t>ADM7172ACPZ-R7</t>
  </si>
  <si>
    <t>IC REG LINEAR 1.8V 2A 8LFCSP</t>
  </si>
  <si>
    <t>IC1</t>
  </si>
  <si>
    <t>CP-8-21 - ADI</t>
  </si>
  <si>
    <t>Analog Devices Inc.</t>
  </si>
  <si>
    <t>ADM7172ACPZ-1.8-R7</t>
  </si>
  <si>
    <t>SN74LVC1G07DCKR</t>
  </si>
  <si>
    <t>IC BUF NON-INVERT Open-Drain Output 5.5V SC70-5</t>
  </si>
  <si>
    <t>IC2, IC3, IC5</t>
  </si>
  <si>
    <t>DCK0005A_SC70-5 - TI</t>
  </si>
  <si>
    <t>LT6000CDCB#TRPBF</t>
  </si>
  <si>
    <t>IC OPAMP GP 1 CIRCUIT 6DFN</t>
  </si>
  <si>
    <t>IC4</t>
  </si>
  <si>
    <t>DFN-6_DCB - ADI</t>
  </si>
  <si>
    <t>ZED-F9T-00B</t>
  </si>
  <si>
    <t>RF RECEIVER GNSS/GPS 54LGA</t>
  </si>
  <si>
    <t>IC6</t>
  </si>
  <si>
    <t>Module</t>
  </si>
  <si>
    <t>u-blox</t>
  </si>
  <si>
    <t>NC7SZ125P5X</t>
  </si>
  <si>
    <t>IC BUF NON-INVERT 3-State Output_x000D_5.5V SC70-5</t>
  </si>
  <si>
    <t>IC7, IC8, IC9</t>
  </si>
  <si>
    <t>ONSEMI</t>
  </si>
  <si>
    <t>TMUX1119DCKR</t>
  </si>
  <si>
    <t>IC SWITCH SPDT X 1 4OHM SC70-6</t>
  </si>
  <si>
    <t>IC10</t>
  </si>
  <si>
    <t>DCK0006A_SC70-6 - TI</t>
  </si>
  <si>
    <t>901-10510-1</t>
  </si>
  <si>
    <t>CONN SMA JACK R/A 50OHM EDGE MNT</t>
  </si>
  <si>
    <t>J2, J3, J4</t>
  </si>
  <si>
    <t>Connetors</t>
  </si>
  <si>
    <t>Amphenol RF</t>
  </si>
  <si>
    <t>47nH</t>
  </si>
  <si>
    <t>FIXED IND 47nH 300mA 720 mOHM</t>
  </si>
  <si>
    <t>L1</t>
  </si>
  <si>
    <t>IND0402</t>
  </si>
  <si>
    <t>Inductor</t>
  </si>
  <si>
    <t>LQG15HS47NJ02D</t>
  </si>
  <si>
    <t>SI1013CX-T1-GE3</t>
  </si>
  <si>
    <t>MOSFET P-CH 20V 450MA SC89-3</t>
  </si>
  <si>
    <t>Q1</t>
  </si>
  <si>
    <t>SC-89-3 - Vishay</t>
  </si>
  <si>
    <t>MOSFETs</t>
  </si>
  <si>
    <t>Vishay Siliconix</t>
  </si>
  <si>
    <t>8.45k</t>
  </si>
  <si>
    <t>RES SMD 8.45KOHM 0.1% 1/16W 0402</t>
  </si>
  <si>
    <t>R1</t>
  </si>
  <si>
    <t>RT0402BRD078K45L</t>
  </si>
  <si>
    <t>R2, R6</t>
  </si>
  <si>
    <t>10.1k</t>
  </si>
  <si>
    <t>RES SMD 10.1K OHM 0.1% 1/16W 0402</t>
  </si>
  <si>
    <t>R3</t>
  </si>
  <si>
    <t>RT0402BRE0710K1L</t>
  </si>
  <si>
    <t>R4</t>
  </si>
  <si>
    <t>10R</t>
  </si>
  <si>
    <t>RES 10 OHM 5% 1/2W 0805</t>
  </si>
  <si>
    <t>R5</t>
  </si>
  <si>
    <t>R0805</t>
  </si>
  <si>
    <t>SR0805JR-4710RL</t>
  </si>
  <si>
    <t>RD-101-0003</t>
  </si>
  <si>
    <t>0R</t>
  </si>
  <si>
    <t>RES SMD 0 OHM JUMPER 1/16W 0402</t>
  </si>
  <si>
    <t>R7, R11, R12, R14, R17, R18, R21</t>
  </si>
  <si>
    <t>RC0402FR-070RL</t>
  </si>
  <si>
    <t>49.9R</t>
  </si>
  <si>
    <t>RES SMD 49.9 OHM 1% 1/20W 0201</t>
  </si>
  <si>
    <t>R10, R16, R19</t>
  </si>
  <si>
    <t>R0201</t>
  </si>
  <si>
    <t>RC0201FR-0749R9L</t>
  </si>
  <si>
    <t>RES SMD 49.9 OHM 1% 1/2W 2010</t>
  </si>
  <si>
    <t>R20</t>
  </si>
  <si>
    <t>R2010</t>
  </si>
  <si>
    <t>RT2010FKE0749R9L</t>
  </si>
  <si>
    <t>th</t>
  </si>
  <si>
    <t>2 min + 0.5 min handling (Estimate)</t>
  </si>
  <si>
    <r>
      <t xml:space="preserve">• Data Pack: </t>
    </r>
    <r>
      <rPr>
        <b/>
        <i/>
        <sz val="9"/>
        <color rgb="FF0000FF"/>
        <rFont val="Arial"/>
        <family val="2"/>
      </rPr>
      <t>04_LI_GNSS_RELEASE-main</t>
    </r>
    <r>
      <rPr>
        <b/>
        <sz val="9"/>
        <rFont val="Arial"/>
        <family val="2"/>
      </rPr>
      <t xml:space="preserve">
• PCB finish IMMERSION GOLD.  PCB thickness 1.0mm
• 2.5min FPT time included
• 2.5 min FCT time included per assembly doc - TBC.
• </t>
    </r>
    <r>
      <rPr>
        <b/>
        <sz val="9"/>
        <color rgb="FFFF0000"/>
        <rFont val="Arial"/>
        <family val="2"/>
      </rPr>
      <t>Assume SMA connectors J2, J3, J4 can withstand SMT reflow temperatures</t>
    </r>
    <r>
      <rPr>
        <b/>
        <sz val="9"/>
        <rFont val="Arial"/>
        <family val="2"/>
      </rPr>
      <t>.  Propose to hand place at SMT and run through reflow, with additional touch-up of TH leads post SMT.  Will require SMT pallet to support SMA's.</t>
    </r>
  </si>
  <si>
    <t>SMT Pallets</t>
  </si>
  <si>
    <t>USD</t>
  </si>
  <si>
    <t>SMA connectors J2, J3, J4</t>
  </si>
  <si>
    <t>SMA connectors J2, J3, J4 to be placed at SMT but will require solder added to TH pins.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</si>
</sst>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_-;\-* #,##0_-;_-* &quot;-&quot;??_-;_-@_-"/>
    <numFmt numFmtId="165" formatCode="&quot;$&quot;#,##0.00"/>
    <numFmt numFmtId="166" formatCode="0.0"/>
    <numFmt numFmtId="167" formatCode="0.000"/>
    <numFmt numFmtId="168" formatCode="0.0000"/>
    <numFmt numFmtId="169" formatCode="0.000%"/>
    <numFmt numFmtId="170" formatCode="[$-C09]dd\-mmmm\-yyyy;@"/>
    <numFmt numFmtId="171" formatCode="d/mm/yyyy;@"/>
  </numFmts>
  <fonts count="6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57"/>
      <name val="Arial"/>
      <family val="2"/>
    </font>
    <font>
      <b/>
      <sz val="13"/>
      <name val="Arial"/>
      <family val="2"/>
    </font>
    <font>
      <sz val="10"/>
      <color indexed="14"/>
      <name val="Arial"/>
      <family val="2"/>
    </font>
    <font>
      <sz val="8"/>
      <name val="Arial"/>
      <family val="2"/>
    </font>
    <font>
      <b/>
      <u/>
      <sz val="12"/>
      <color indexed="13"/>
      <name val="Arial"/>
      <family val="2"/>
    </font>
    <font>
      <b/>
      <u/>
      <sz val="10"/>
      <color indexed="12"/>
      <name val="Arial"/>
      <family val="2"/>
    </font>
    <font>
      <sz val="10"/>
      <color indexed="9"/>
      <name val="Arial"/>
      <family val="2"/>
    </font>
    <font>
      <sz val="10"/>
      <color indexed="42"/>
      <name val="Arial"/>
      <family val="2"/>
    </font>
    <font>
      <sz val="10"/>
      <color indexed="43"/>
      <name val="Arial"/>
      <family val="2"/>
    </font>
    <font>
      <i/>
      <sz val="10"/>
      <color indexed="9"/>
      <name val="Arial"/>
      <family val="2"/>
    </font>
    <font>
      <i/>
      <sz val="10"/>
      <name val="Arial"/>
      <family val="2"/>
    </font>
    <font>
      <sz val="10"/>
      <color indexed="57"/>
      <name val="Arial"/>
      <family val="2"/>
    </font>
    <font>
      <sz val="12"/>
      <name val="Arial"/>
      <family val="2"/>
    </font>
    <font>
      <b/>
      <u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indexed="9"/>
      <name val="Arial"/>
      <family val="2"/>
    </font>
    <font>
      <sz val="10"/>
      <color indexed="10"/>
      <name val="Arial"/>
      <family val="2"/>
    </font>
    <font>
      <sz val="10"/>
      <color indexed="13"/>
      <name val="Arial"/>
      <family val="2"/>
    </font>
    <font>
      <b/>
      <sz val="10"/>
      <color indexed="13"/>
      <name val="Arial"/>
      <family val="2"/>
    </font>
    <font>
      <b/>
      <i/>
      <sz val="10"/>
      <color indexed="10"/>
      <name val="Arial"/>
      <family val="2"/>
    </font>
    <font>
      <i/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1"/>
      <color indexed="13"/>
      <name val="Arial"/>
      <family val="2"/>
    </font>
    <font>
      <u/>
      <sz val="10"/>
      <name val="Arial"/>
      <family val="2"/>
    </font>
    <font>
      <b/>
      <sz val="10"/>
      <color rgb="FFFFFF00"/>
      <name val="Arial"/>
      <family val="2"/>
    </font>
    <font>
      <b/>
      <u/>
      <sz val="12"/>
      <color rgb="FFFFFF00"/>
      <name val="Arial"/>
      <family val="2"/>
    </font>
    <font>
      <sz val="10"/>
      <color rgb="FF0066FF"/>
      <name val="Arial"/>
      <family val="2"/>
    </font>
    <font>
      <strike/>
      <sz val="10"/>
      <name val="Arial"/>
      <family val="2"/>
    </font>
    <font>
      <sz val="10"/>
      <color rgb="FF339966"/>
      <name val="Arial"/>
      <family val="2"/>
    </font>
    <font>
      <sz val="10"/>
      <color rgb="FF0000FF"/>
      <name val="Arial"/>
      <family val="2"/>
    </font>
    <font>
      <sz val="10"/>
      <color rgb="FF7030A0"/>
      <name val="Arial"/>
      <family val="2"/>
    </font>
    <font>
      <b/>
      <sz val="10"/>
      <color theme="0"/>
      <name val="Arial"/>
      <family val="2"/>
    </font>
    <font>
      <b/>
      <sz val="13"/>
      <color theme="0"/>
      <name val="Arial"/>
      <family val="2"/>
    </font>
    <font>
      <sz val="13"/>
      <name val="Arial"/>
      <family val="2"/>
    </font>
    <font>
      <b/>
      <sz val="11"/>
      <name val="Arial"/>
      <family val="2"/>
    </font>
    <font>
      <b/>
      <sz val="9"/>
      <color theme="1" tint="0.249977111117893"/>
      <name val="Arial"/>
      <family val="2"/>
    </font>
    <font>
      <sz val="9"/>
      <color theme="1" tint="0.249977111117893"/>
      <name val="Arial"/>
      <family val="2"/>
    </font>
    <font>
      <sz val="10"/>
      <color indexed="8"/>
      <name val="Arial"/>
      <family val="2"/>
    </font>
    <font>
      <b/>
      <sz val="10"/>
      <color rgb="FF0000FF"/>
      <name val="Arial"/>
      <family val="2"/>
    </font>
    <font>
      <b/>
      <sz val="10"/>
      <color theme="1" tint="0.499984740745262"/>
      <name val="Arial"/>
      <family val="2"/>
    </font>
    <font>
      <b/>
      <sz val="9"/>
      <name val="Arial"/>
      <family val="2"/>
    </font>
    <font>
      <sz val="10"/>
      <color theme="0" tint="-0.499984740745262"/>
      <name val="Arial"/>
      <family val="2"/>
    </font>
    <font>
      <sz val="10"/>
      <color theme="1" tint="0.249977111117893"/>
      <name val="Arial"/>
      <family val="2"/>
    </font>
    <font>
      <b/>
      <sz val="10"/>
      <color theme="1" tint="0.249977111117893"/>
      <name val="Arial"/>
      <family val="2"/>
    </font>
    <font>
      <b/>
      <sz val="10"/>
      <color rgb="FFFF0000"/>
      <name val="Arial"/>
      <family val="2"/>
    </font>
    <font>
      <b/>
      <u/>
      <sz val="10"/>
      <color indexed="13"/>
      <name val="Arial"/>
      <family val="2"/>
    </font>
    <font>
      <b/>
      <i/>
      <sz val="9"/>
      <color rgb="FF0000FF"/>
      <name val="Arial"/>
      <family val="2"/>
    </font>
    <font>
      <b/>
      <sz val="9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816888943144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22"/>
      </right>
      <top style="medium">
        <color indexed="64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medium">
        <color indexed="64"/>
      </top>
      <bottom style="hair">
        <color indexed="22"/>
      </bottom>
      <diagonal/>
    </border>
    <border>
      <left style="hair">
        <color indexed="22"/>
      </left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double">
        <color indexed="64"/>
      </left>
      <right style="hair">
        <color indexed="22"/>
      </right>
      <top style="medium">
        <color indexed="64"/>
      </top>
      <bottom style="hair">
        <color indexed="22"/>
      </bottom>
      <diagonal/>
    </border>
    <border>
      <left style="medium">
        <color indexed="64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double">
        <color indexed="64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medium">
        <color indexed="64"/>
      </right>
      <top style="hair">
        <color indexed="22"/>
      </top>
      <bottom/>
      <diagonal/>
    </border>
    <border>
      <left style="medium">
        <color indexed="64"/>
      </left>
      <right style="hair">
        <color indexed="22"/>
      </right>
      <top/>
      <bottom style="medium">
        <color indexed="64"/>
      </bottom>
      <diagonal/>
    </border>
    <border>
      <left style="hair">
        <color indexed="22"/>
      </left>
      <right style="hair">
        <color indexed="22"/>
      </right>
      <top/>
      <bottom style="medium">
        <color indexed="64"/>
      </bottom>
      <diagonal/>
    </border>
    <border>
      <left style="hair">
        <color indexed="22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hair">
        <color indexed="22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22"/>
      </left>
      <right/>
      <top style="hair">
        <color indexed="22"/>
      </top>
      <bottom style="hair">
        <color indexed="22"/>
      </bottom>
      <diagonal/>
    </border>
    <border>
      <left style="hair">
        <color indexed="22"/>
      </left>
      <right style="medium">
        <color indexed="64"/>
      </right>
      <top/>
      <bottom style="hair">
        <color indexed="22"/>
      </bottom>
      <diagonal/>
    </border>
    <border>
      <left style="medium">
        <color indexed="64"/>
      </left>
      <right style="hair">
        <color indexed="22"/>
      </right>
      <top style="hair">
        <color indexed="22"/>
      </top>
      <bottom style="medium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22"/>
      </left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/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/>
      <top style="hair">
        <color indexed="22"/>
      </top>
      <bottom style="medium">
        <color indexed="64"/>
      </bottom>
      <diagonal/>
    </border>
    <border>
      <left/>
      <right style="hair">
        <color indexed="22"/>
      </right>
      <top style="hair">
        <color indexed="22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22"/>
      </left>
      <right/>
      <top style="medium">
        <color indexed="64"/>
      </top>
      <bottom style="hair">
        <color indexed="22"/>
      </bottom>
      <diagonal/>
    </border>
    <border>
      <left/>
      <right style="hair">
        <color indexed="22"/>
      </right>
      <top style="medium">
        <color indexed="64"/>
      </top>
      <bottom style="hair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22"/>
      </right>
      <top/>
      <bottom style="hair">
        <color indexed="22"/>
      </bottom>
      <diagonal/>
    </border>
    <border>
      <left style="hair">
        <color indexed="22"/>
      </left>
      <right style="hair">
        <color indexed="22"/>
      </right>
      <top/>
      <bottom style="hair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medium">
        <color theme="1"/>
      </bottom>
      <diagonal/>
    </border>
    <border>
      <left style="hair">
        <color indexed="22"/>
      </left>
      <right style="hair">
        <color indexed="22"/>
      </right>
      <top/>
      <bottom style="medium">
        <color theme="1"/>
      </bottom>
      <diagonal/>
    </border>
  </borders>
  <cellStyleXfs count="11">
    <xf numFmtId="0" fontId="0" fillId="0" borderId="0"/>
    <xf numFmtId="43" fontId="9" fillId="0" borderId="0" applyFont="0" applyFill="0" applyBorder="0" applyAlignment="0" applyProtection="0"/>
    <xf numFmtId="0" fontId="9" fillId="0" borderId="0"/>
    <xf numFmtId="9" fontId="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9">
    <xf numFmtId="0" fontId="0" fillId="0" borderId="0" xfId="0"/>
    <xf numFmtId="0" fontId="8" fillId="0" borderId="0" xfId="2" applyFont="1"/>
    <xf numFmtId="0" fontId="10" fillId="0" borderId="0" xfId="2" applyFont="1" applyAlignment="1">
      <alignment horizontal="right" vertical="center"/>
    </xf>
    <xf numFmtId="0" fontId="9" fillId="0" borderId="0" xfId="2" applyAlignment="1">
      <alignment vertical="center"/>
    </xf>
    <xf numFmtId="0" fontId="32" fillId="0" borderId="0" xfId="2" applyFont="1" applyAlignment="1">
      <alignment horizontal="center" vertical="center" wrapText="1"/>
    </xf>
    <xf numFmtId="0" fontId="13" fillId="0" borderId="0" xfId="2" applyFont="1" applyAlignment="1">
      <alignment horizontal="center" vertical="center" wrapText="1"/>
    </xf>
    <xf numFmtId="0" fontId="13" fillId="0" borderId="0" xfId="2" applyFont="1" applyAlignment="1" applyProtection="1">
      <alignment horizontal="left" vertical="center"/>
      <protection locked="0"/>
    </xf>
    <xf numFmtId="0" fontId="9" fillId="0" borderId="0" xfId="2" applyAlignment="1">
      <alignment horizontal="center" vertical="center" wrapText="1"/>
    </xf>
    <xf numFmtId="0" fontId="10" fillId="2" borderId="0" xfId="2" applyFont="1" applyFill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0" fontId="13" fillId="0" borderId="0" xfId="2" applyFont="1" applyAlignment="1">
      <alignment vertical="center"/>
    </xf>
    <xf numFmtId="0" fontId="8" fillId="0" borderId="0" xfId="2" applyFont="1" applyAlignment="1">
      <alignment vertical="center" wrapText="1"/>
    </xf>
    <xf numFmtId="2" fontId="10" fillId="0" borderId="0" xfId="2" applyNumberFormat="1" applyFont="1" applyAlignment="1">
      <alignment horizontal="center" vertical="center" wrapText="1"/>
    </xf>
    <xf numFmtId="0" fontId="16" fillId="0" borderId="0" xfId="2" applyFont="1" applyAlignment="1" applyProtection="1">
      <alignment vertical="center"/>
      <protection locked="0"/>
    </xf>
    <xf numFmtId="0" fontId="17" fillId="0" borderId="8" xfId="2" applyFont="1" applyBorder="1" applyAlignment="1">
      <alignment horizontal="left" vertical="center"/>
    </xf>
    <xf numFmtId="0" fontId="17" fillId="0" borderId="9" xfId="2" applyFont="1" applyBorder="1" applyAlignment="1" applyProtection="1">
      <alignment horizontal="center" vertical="center"/>
      <protection locked="0"/>
    </xf>
    <xf numFmtId="165" fontId="17" fillId="0" borderId="9" xfId="2" applyNumberFormat="1" applyFont="1" applyBorder="1" applyAlignment="1" applyProtection="1">
      <alignment horizontal="center" vertical="center"/>
      <protection locked="0"/>
    </xf>
    <xf numFmtId="0" fontId="17" fillId="0" borderId="10" xfId="2" applyFont="1" applyBorder="1" applyAlignment="1" applyProtection="1">
      <alignment horizontal="center" vertical="center"/>
      <protection locked="0"/>
    </xf>
    <xf numFmtId="0" fontId="17" fillId="0" borderId="11" xfId="2" applyFont="1" applyBorder="1" applyAlignment="1">
      <alignment horizontal="left" vertical="center"/>
    </xf>
    <xf numFmtId="0" fontId="13" fillId="0" borderId="0" xfId="2" applyFont="1" applyAlignment="1" applyProtection="1">
      <alignment vertical="center"/>
      <protection locked="0"/>
    </xf>
    <xf numFmtId="0" fontId="19" fillId="0" borderId="0" xfId="2" applyFont="1" applyAlignment="1">
      <alignment vertical="center"/>
    </xf>
    <xf numFmtId="0" fontId="9" fillId="0" borderId="8" xfId="2" applyBorder="1" applyAlignment="1">
      <alignment vertical="center" wrapText="1"/>
    </xf>
    <xf numFmtId="0" fontId="20" fillId="0" borderId="9" xfId="2" applyFont="1" applyBorder="1" applyAlignment="1">
      <alignment horizontal="center" vertical="center" wrapText="1"/>
    </xf>
    <xf numFmtId="2" fontId="9" fillId="0" borderId="9" xfId="2" applyNumberFormat="1" applyBorder="1" applyAlignment="1">
      <alignment horizontal="center" vertical="center" wrapText="1"/>
    </xf>
    <xf numFmtId="0" fontId="10" fillId="2" borderId="10" xfId="2" applyFont="1" applyFill="1" applyBorder="1" applyAlignment="1" applyProtection="1">
      <alignment horizontal="center" vertical="center" wrapText="1"/>
      <protection locked="0"/>
    </xf>
    <xf numFmtId="0" fontId="17" fillId="0" borderId="11" xfId="2" applyFont="1" applyBorder="1" applyAlignment="1" applyProtection="1">
      <alignment horizontal="left" vertical="center"/>
      <protection locked="0"/>
    </xf>
    <xf numFmtId="0" fontId="13" fillId="0" borderId="9" xfId="2" applyFont="1" applyBorder="1" applyAlignment="1">
      <alignment horizontal="center" vertical="center" wrapText="1"/>
    </xf>
    <xf numFmtId="0" fontId="13" fillId="0" borderId="10" xfId="2" applyFont="1" applyBorder="1" applyAlignment="1">
      <alignment horizontal="center" vertical="center" wrapText="1"/>
    </xf>
    <xf numFmtId="0" fontId="9" fillId="0" borderId="10" xfId="2" applyBorder="1" applyAlignment="1">
      <alignment horizontal="center" vertical="center" wrapText="1"/>
    </xf>
    <xf numFmtId="0" fontId="9" fillId="4" borderId="8" xfId="2" applyFill="1" applyBorder="1" applyAlignment="1">
      <alignment vertical="center" wrapText="1"/>
    </xf>
    <xf numFmtId="0" fontId="21" fillId="4" borderId="9" xfId="2" applyFont="1" applyFill="1" applyBorder="1" applyAlignment="1">
      <alignment horizontal="center" vertical="center" wrapText="1"/>
    </xf>
    <xf numFmtId="2" fontId="9" fillId="4" borderId="9" xfId="2" applyNumberFormat="1" applyFill="1" applyBorder="1" applyAlignment="1">
      <alignment horizontal="center" vertical="center" wrapText="1"/>
    </xf>
    <xf numFmtId="2" fontId="9" fillId="4" borderId="10" xfId="2" applyNumberFormat="1" applyFill="1" applyBorder="1" applyAlignment="1">
      <alignment horizontal="center" vertical="center" wrapText="1"/>
    </xf>
    <xf numFmtId="0" fontId="9" fillId="0" borderId="9" xfId="2" applyBorder="1" applyAlignment="1">
      <alignment horizontal="center" vertical="center" wrapText="1"/>
    </xf>
    <xf numFmtId="0" fontId="9" fillId="0" borderId="0" xfId="2" applyAlignment="1" applyProtection="1">
      <alignment vertical="center"/>
      <protection locked="0"/>
    </xf>
    <xf numFmtId="2" fontId="20" fillId="0" borderId="9" xfId="2" applyNumberFormat="1" applyFont="1" applyBorder="1" applyAlignment="1">
      <alignment horizontal="center" vertical="center" wrapText="1"/>
    </xf>
    <xf numFmtId="2" fontId="13" fillId="0" borderId="9" xfId="2" applyNumberFormat="1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2" fontId="12" fillId="0" borderId="9" xfId="2" applyNumberFormat="1" applyFont="1" applyBorder="1" applyAlignment="1">
      <alignment horizontal="center" vertical="center" wrapText="1"/>
    </xf>
    <xf numFmtId="0" fontId="12" fillId="0" borderId="10" xfId="2" applyFont="1" applyBorder="1" applyAlignment="1">
      <alignment horizontal="center" vertical="center" wrapText="1"/>
    </xf>
    <xf numFmtId="0" fontId="9" fillId="3" borderId="8" xfId="2" applyFill="1" applyBorder="1" applyAlignment="1">
      <alignment vertical="center" wrapText="1"/>
    </xf>
    <xf numFmtId="0" fontId="22" fillId="3" borderId="9" xfId="2" applyFont="1" applyFill="1" applyBorder="1" applyAlignment="1">
      <alignment horizontal="center" vertical="center" wrapText="1"/>
    </xf>
    <xf numFmtId="2" fontId="9" fillId="3" borderId="9" xfId="2" applyNumberFormat="1" applyFill="1" applyBorder="1" applyAlignment="1">
      <alignment horizontal="center" vertical="center" wrapText="1"/>
    </xf>
    <xf numFmtId="2" fontId="9" fillId="3" borderId="10" xfId="2" applyNumberFormat="1" applyFill="1" applyBorder="1" applyAlignment="1">
      <alignment horizontal="center" vertical="center" wrapText="1"/>
    </xf>
    <xf numFmtId="0" fontId="9" fillId="3" borderId="9" xfId="2" applyFill="1" applyBorder="1" applyAlignment="1">
      <alignment horizontal="center" vertical="center" wrapText="1"/>
    </xf>
    <xf numFmtId="0" fontId="17" fillId="0" borderId="13" xfId="2" applyFont="1" applyBorder="1" applyAlignment="1">
      <alignment horizontal="left" vertical="center"/>
    </xf>
    <xf numFmtId="0" fontId="17" fillId="0" borderId="14" xfId="2" applyFont="1" applyBorder="1" applyAlignment="1" applyProtection="1">
      <alignment horizontal="center" vertical="center"/>
      <protection locked="0"/>
    </xf>
    <xf numFmtId="0" fontId="17" fillId="0" borderId="15" xfId="2" applyFont="1" applyBorder="1" applyAlignment="1" applyProtection="1">
      <alignment horizontal="center" vertical="center"/>
      <protection locked="0"/>
    </xf>
    <xf numFmtId="0" fontId="17" fillId="0" borderId="16" xfId="2" applyFont="1" applyBorder="1" applyAlignment="1" applyProtection="1">
      <alignment horizontal="left" vertical="center"/>
      <protection locked="0"/>
    </xf>
    <xf numFmtId="166" fontId="20" fillId="0" borderId="9" xfId="2" applyNumberFormat="1" applyFont="1" applyBorder="1" applyAlignment="1">
      <alignment horizontal="center" vertical="center" wrapText="1"/>
    </xf>
    <xf numFmtId="167" fontId="13" fillId="0" borderId="10" xfId="2" applyNumberFormat="1" applyFont="1" applyBorder="1" applyAlignment="1">
      <alignment horizontal="center" vertical="center" wrapText="1"/>
    </xf>
    <xf numFmtId="167" fontId="9" fillId="0" borderId="10" xfId="2" applyNumberFormat="1" applyBorder="1" applyAlignment="1">
      <alignment horizontal="center" vertical="center" wrapText="1"/>
    </xf>
    <xf numFmtId="0" fontId="13" fillId="0" borderId="8" xfId="2" applyFont="1" applyBorder="1" applyAlignment="1">
      <alignment vertical="center"/>
    </xf>
    <xf numFmtId="0" fontId="20" fillId="0" borderId="9" xfId="2" applyFont="1" applyBorder="1" applyAlignment="1">
      <alignment vertical="center"/>
    </xf>
    <xf numFmtId="2" fontId="13" fillId="0" borderId="9" xfId="2" applyNumberFormat="1" applyFont="1" applyBorder="1" applyAlignment="1">
      <alignment vertical="center"/>
    </xf>
    <xf numFmtId="0" fontId="13" fillId="0" borderId="10" xfId="2" applyFont="1" applyBorder="1" applyAlignment="1">
      <alignment vertical="center"/>
    </xf>
    <xf numFmtId="0" fontId="23" fillId="0" borderId="9" xfId="2" applyFont="1" applyBorder="1" applyAlignment="1">
      <alignment horizontal="center" vertical="center" wrapText="1"/>
    </xf>
    <xf numFmtId="2" fontId="24" fillId="0" borderId="9" xfId="2" applyNumberFormat="1" applyFont="1" applyBorder="1" applyAlignment="1">
      <alignment horizontal="center" vertical="center" wrapText="1"/>
    </xf>
    <xf numFmtId="0" fontId="24" fillId="0" borderId="10" xfId="2" applyFont="1" applyBorder="1" applyAlignment="1">
      <alignment horizontal="center" vertical="center" wrapText="1"/>
    </xf>
    <xf numFmtId="168" fontId="9" fillId="0" borderId="0" xfId="2" applyNumberFormat="1" applyAlignment="1" applyProtection="1">
      <alignment horizontal="center" vertical="center"/>
      <protection locked="0"/>
    </xf>
    <xf numFmtId="9" fontId="13" fillId="0" borderId="9" xfId="2" applyNumberFormat="1" applyFont="1" applyBorder="1" applyAlignment="1">
      <alignment horizontal="center" vertical="center" wrapText="1"/>
    </xf>
    <xf numFmtId="9" fontId="13" fillId="0" borderId="10" xfId="2" applyNumberFormat="1" applyFont="1" applyBorder="1" applyAlignment="1">
      <alignment horizontal="center" vertical="center" wrapText="1"/>
    </xf>
    <xf numFmtId="166" fontId="12" fillId="0" borderId="9" xfId="2" applyNumberFormat="1" applyFont="1" applyBorder="1" applyAlignment="1">
      <alignment horizontal="center" vertical="center" wrapText="1"/>
    </xf>
    <xf numFmtId="166" fontId="12" fillId="0" borderId="10" xfId="2" applyNumberFormat="1" applyFont="1" applyBorder="1" applyAlignment="1">
      <alignment horizontal="center" vertical="center" wrapText="1"/>
    </xf>
    <xf numFmtId="169" fontId="12" fillId="0" borderId="9" xfId="2" applyNumberFormat="1" applyFont="1" applyBorder="1" applyAlignment="1">
      <alignment horizontal="center" vertical="center" wrapText="1"/>
    </xf>
    <xf numFmtId="169" fontId="12" fillId="0" borderId="10" xfId="2" applyNumberFormat="1" applyFont="1" applyBorder="1" applyAlignment="1">
      <alignment horizontal="center" vertical="center" wrapText="1"/>
    </xf>
    <xf numFmtId="0" fontId="34" fillId="0" borderId="0" xfId="2" applyFont="1" applyAlignment="1" applyProtection="1">
      <alignment vertical="center"/>
      <protection locked="0"/>
    </xf>
    <xf numFmtId="166" fontId="9" fillId="3" borderId="10" xfId="2" applyNumberFormat="1" applyFill="1" applyBorder="1" applyAlignment="1">
      <alignment horizontal="center" vertical="center" wrapText="1"/>
    </xf>
    <xf numFmtId="0" fontId="24" fillId="0" borderId="0" xfId="2" applyFont="1" applyAlignment="1" applyProtection="1">
      <alignment vertical="center"/>
      <protection locked="0"/>
    </xf>
    <xf numFmtId="0" fontId="10" fillId="0" borderId="8" xfId="2" applyFont="1" applyBorder="1" applyAlignment="1">
      <alignment vertical="center" wrapText="1"/>
    </xf>
    <xf numFmtId="0" fontId="10" fillId="2" borderId="12" xfId="2" applyFont="1" applyFill="1" applyBorder="1" applyAlignment="1" applyProtection="1">
      <alignment horizontal="center" vertical="center" wrapText="1"/>
      <protection locked="0"/>
    </xf>
    <xf numFmtId="2" fontId="12" fillId="0" borderId="18" xfId="2" applyNumberFormat="1" applyFont="1" applyBorder="1" applyAlignment="1">
      <alignment horizontal="center" vertical="center" wrapText="1"/>
    </xf>
    <xf numFmtId="0" fontId="35" fillId="5" borderId="12" xfId="2" applyFont="1" applyFill="1" applyBorder="1" applyAlignment="1" applyProtection="1">
      <alignment horizontal="center" vertical="center" wrapText="1"/>
      <protection locked="0"/>
    </xf>
    <xf numFmtId="2" fontId="9" fillId="0" borderId="18" xfId="2" applyNumberFormat="1" applyBorder="1" applyAlignment="1">
      <alignment horizontal="center" vertical="center" wrapText="1"/>
    </xf>
    <xf numFmtId="0" fontId="10" fillId="0" borderId="12" xfId="2" applyFont="1" applyBorder="1" applyAlignment="1">
      <alignment horizontal="center" vertical="center" wrapText="1"/>
    </xf>
    <xf numFmtId="0" fontId="10" fillId="0" borderId="10" xfId="2" applyFont="1" applyBorder="1" applyAlignment="1">
      <alignment horizontal="center" vertical="center" wrapText="1"/>
    </xf>
    <xf numFmtId="0" fontId="9" fillId="0" borderId="19" xfId="2" applyBorder="1" applyAlignment="1">
      <alignment horizontal="center" vertical="center" wrapText="1"/>
    </xf>
    <xf numFmtId="10" fontId="12" fillId="0" borderId="9" xfId="2" applyNumberFormat="1" applyFont="1" applyBorder="1" applyAlignment="1">
      <alignment horizontal="center" vertical="center" wrapText="1"/>
    </xf>
    <xf numFmtId="10" fontId="12" fillId="0" borderId="10" xfId="2" applyNumberFormat="1" applyFont="1" applyBorder="1" applyAlignment="1">
      <alignment horizontal="center" vertical="center" wrapText="1"/>
    </xf>
    <xf numFmtId="0" fontId="25" fillId="3" borderId="8" xfId="2" applyFont="1" applyFill="1" applyBorder="1" applyAlignment="1">
      <alignment vertical="center" wrapText="1"/>
    </xf>
    <xf numFmtId="2" fontId="25" fillId="3" borderId="9" xfId="2" applyNumberFormat="1" applyFont="1" applyFill="1" applyBorder="1" applyAlignment="1">
      <alignment horizontal="center" vertical="center" wrapText="1"/>
    </xf>
    <xf numFmtId="2" fontId="25" fillId="3" borderId="10" xfId="2" applyNumberFormat="1" applyFont="1" applyFill="1" applyBorder="1" applyAlignment="1">
      <alignment horizontal="center" vertical="center" wrapText="1"/>
    </xf>
    <xf numFmtId="0" fontId="36" fillId="0" borderId="8" xfId="2" applyFont="1" applyBorder="1" applyAlignment="1">
      <alignment vertical="center" wrapText="1"/>
    </xf>
    <xf numFmtId="0" fontId="37" fillId="0" borderId="9" xfId="2" applyFont="1" applyBorder="1" applyAlignment="1">
      <alignment horizontal="center" vertical="center" wrapText="1"/>
    </xf>
    <xf numFmtId="0" fontId="37" fillId="0" borderId="10" xfId="2" applyFont="1" applyBorder="1" applyAlignment="1">
      <alignment horizontal="center" vertical="center" wrapText="1"/>
    </xf>
    <xf numFmtId="0" fontId="12" fillId="0" borderId="0" xfId="2" applyFont="1" applyAlignment="1" applyProtection="1">
      <alignment vertical="center"/>
      <protection locked="0"/>
    </xf>
    <xf numFmtId="0" fontId="24" fillId="0" borderId="9" xfId="2" applyFont="1" applyBorder="1" applyAlignment="1">
      <alignment horizontal="center" vertical="center" wrapText="1"/>
    </xf>
    <xf numFmtId="9" fontId="13" fillId="0" borderId="10" xfId="4" applyFont="1" applyBorder="1" applyAlignment="1">
      <alignment horizontal="center" vertical="center" wrapText="1"/>
    </xf>
    <xf numFmtId="0" fontId="13" fillId="0" borderId="9" xfId="2" applyFont="1" applyBorder="1" applyAlignment="1">
      <alignment vertical="center"/>
    </xf>
    <xf numFmtId="1" fontId="10" fillId="2" borderId="10" xfId="2" applyNumberFormat="1" applyFont="1" applyFill="1" applyBorder="1" applyAlignment="1" applyProtection="1">
      <alignment horizontal="center" vertical="center" wrapText="1"/>
      <protection locked="0"/>
    </xf>
    <xf numFmtId="167" fontId="9" fillId="0" borderId="9" xfId="2" applyNumberFormat="1" applyBorder="1" applyAlignment="1">
      <alignment horizontal="center" vertical="center" wrapText="1"/>
    </xf>
    <xf numFmtId="9" fontId="13" fillId="0" borderId="9" xfId="4" applyFont="1" applyBorder="1" applyAlignment="1">
      <alignment horizontal="center" vertical="center" wrapText="1"/>
    </xf>
    <xf numFmtId="2" fontId="13" fillId="0" borderId="9" xfId="4" applyNumberFormat="1" applyFont="1" applyBorder="1" applyAlignment="1">
      <alignment horizontal="center" vertical="center" wrapText="1"/>
    </xf>
    <xf numFmtId="0" fontId="9" fillId="3" borderId="20" xfId="2" applyFill="1" applyBorder="1" applyAlignment="1">
      <alignment vertical="center" wrapText="1"/>
    </xf>
    <xf numFmtId="0" fontId="9" fillId="3" borderId="21" xfId="2" applyFill="1" applyBorder="1" applyAlignment="1">
      <alignment horizontal="center" vertical="center" wrapText="1"/>
    </xf>
    <xf numFmtId="2" fontId="9" fillId="3" borderId="21" xfId="2" applyNumberFormat="1" applyFill="1" applyBorder="1" applyAlignment="1">
      <alignment horizontal="center" vertical="center" wrapText="1"/>
    </xf>
    <xf numFmtId="0" fontId="9" fillId="0" borderId="0" xfId="2" applyAlignment="1">
      <alignment vertical="center" wrapText="1"/>
    </xf>
    <xf numFmtId="0" fontId="26" fillId="0" borderId="22" xfId="2" applyFont="1" applyBorder="1" applyAlignment="1">
      <alignment vertical="center" wrapText="1"/>
    </xf>
    <xf numFmtId="0" fontId="26" fillId="0" borderId="22" xfId="2" applyFont="1" applyBorder="1" applyAlignment="1">
      <alignment horizontal="center" vertical="center" wrapText="1"/>
    </xf>
    <xf numFmtId="0" fontId="10" fillId="0" borderId="0" xfId="2" applyFont="1" applyAlignment="1">
      <alignment vertical="center" wrapText="1"/>
    </xf>
    <xf numFmtId="0" fontId="24" fillId="0" borderId="0" xfId="2" applyFont="1" applyAlignment="1">
      <alignment horizontal="center" vertical="center" wrapText="1"/>
    </xf>
    <xf numFmtId="167" fontId="9" fillId="0" borderId="0" xfId="2" applyNumberFormat="1" applyAlignment="1">
      <alignment horizontal="center" vertical="center" wrapText="1"/>
    </xf>
    <xf numFmtId="9" fontId="13" fillId="0" borderId="0" xfId="4" applyFont="1" applyAlignment="1">
      <alignment horizontal="center" vertical="center" wrapText="1"/>
    </xf>
    <xf numFmtId="0" fontId="9" fillId="3" borderId="0" xfId="2" applyFill="1" applyAlignment="1">
      <alignment vertical="center" wrapText="1"/>
    </xf>
    <xf numFmtId="0" fontId="9" fillId="3" borderId="0" xfId="2" applyFill="1" applyAlignment="1">
      <alignment horizontal="center" vertical="center" wrapText="1"/>
    </xf>
    <xf numFmtId="0" fontId="27" fillId="0" borderId="0" xfId="2" applyFont="1" applyAlignment="1">
      <alignment vertical="center" wrapText="1"/>
    </xf>
    <xf numFmtId="9" fontId="9" fillId="0" borderId="0" xfId="2" applyNumberFormat="1" applyAlignment="1">
      <alignment horizontal="center" vertical="center" wrapText="1"/>
    </xf>
    <xf numFmtId="9" fontId="12" fillId="0" borderId="0" xfId="2" applyNumberFormat="1" applyFont="1" applyAlignment="1">
      <alignment horizontal="center" vertical="center" wrapText="1"/>
    </xf>
    <xf numFmtId="9" fontId="9" fillId="3" borderId="0" xfId="2" applyNumberFormat="1" applyFill="1" applyAlignment="1">
      <alignment horizontal="center" vertical="center" wrapText="1"/>
    </xf>
    <xf numFmtId="0" fontId="9" fillId="0" borderId="0" xfId="2"/>
    <xf numFmtId="0" fontId="31" fillId="0" borderId="0" xfId="2" applyFont="1" applyAlignment="1">
      <alignment horizontal="center"/>
    </xf>
    <xf numFmtId="0" fontId="30" fillId="0" borderId="24" xfId="2" applyFont="1" applyBorder="1" applyAlignment="1">
      <alignment horizontal="center" vertical="center" wrapText="1"/>
    </xf>
    <xf numFmtId="49" fontId="9" fillId="0" borderId="0" xfId="2" applyNumberFormat="1"/>
    <xf numFmtId="49" fontId="31" fillId="0" borderId="0" xfId="2" applyNumberFormat="1" applyFont="1" applyAlignment="1">
      <alignment horizontal="center"/>
    </xf>
    <xf numFmtId="164" fontId="11" fillId="0" borderId="28" xfId="1" applyNumberFormat="1" applyFont="1" applyFill="1" applyBorder="1" applyAlignment="1" applyProtection="1">
      <alignment vertical="center" wrapText="1"/>
      <protection locked="0"/>
    </xf>
    <xf numFmtId="0" fontId="15" fillId="0" borderId="30" xfId="2" applyFont="1" applyBorder="1" applyAlignment="1">
      <alignment horizontal="center" vertical="center" wrapText="1"/>
    </xf>
    <xf numFmtId="9" fontId="10" fillId="2" borderId="10" xfId="3" applyFont="1" applyFill="1" applyBorder="1" applyAlignment="1" applyProtection="1">
      <alignment horizontal="center" vertical="center" wrapText="1"/>
      <protection locked="0"/>
    </xf>
    <xf numFmtId="0" fontId="10" fillId="6" borderId="0" xfId="2" applyFont="1" applyFill="1" applyAlignment="1">
      <alignment horizontal="center" vertical="center" wrapText="1"/>
    </xf>
    <xf numFmtId="0" fontId="10" fillId="6" borderId="10" xfId="2" applyFont="1" applyFill="1" applyBorder="1" applyAlignment="1" applyProtection="1">
      <alignment horizontal="center" vertical="center" wrapText="1"/>
      <protection locked="0"/>
    </xf>
    <xf numFmtId="0" fontId="10" fillId="6" borderId="32" xfId="2" applyFont="1" applyFill="1" applyBorder="1" applyAlignment="1" applyProtection="1">
      <alignment horizontal="center" vertical="center" wrapText="1"/>
      <protection locked="0"/>
    </xf>
    <xf numFmtId="2" fontId="10" fillId="3" borderId="10" xfId="2" applyNumberFormat="1" applyFont="1" applyFill="1" applyBorder="1" applyAlignment="1">
      <alignment horizontal="center" vertical="center" wrapText="1"/>
    </xf>
    <xf numFmtId="2" fontId="10" fillId="6" borderId="10" xfId="2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2" applyFont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10" fillId="0" borderId="29" xfId="2" applyFont="1" applyBorder="1" applyAlignment="1">
      <alignment horizontal="right" vertical="center" wrapText="1"/>
    </xf>
    <xf numFmtId="0" fontId="21" fillId="0" borderId="9" xfId="2" applyFont="1" applyBorder="1" applyAlignment="1">
      <alignment horizontal="center" vertical="center" wrapText="1"/>
    </xf>
    <xf numFmtId="2" fontId="9" fillId="0" borderId="10" xfId="2" applyNumberFormat="1" applyBorder="1" applyAlignment="1">
      <alignment horizontal="center" vertical="center" wrapText="1"/>
    </xf>
    <xf numFmtId="0" fontId="7" fillId="0" borderId="8" xfId="2" applyFont="1" applyBorder="1" applyAlignment="1">
      <alignment vertical="center" wrapText="1"/>
    </xf>
    <xf numFmtId="2" fontId="10" fillId="0" borderId="24" xfId="2" applyNumberFormat="1" applyFont="1" applyBorder="1" applyAlignment="1" applyProtection="1">
      <alignment horizontal="center" vertical="center"/>
      <protection locked="0"/>
    </xf>
    <xf numFmtId="0" fontId="8" fillId="0" borderId="0" xfId="2" applyFont="1" applyAlignment="1">
      <alignment vertical="center"/>
    </xf>
    <xf numFmtId="0" fontId="38" fillId="0" borderId="0" xfId="2" applyFont="1" applyAlignment="1">
      <alignment vertical="center" wrapText="1"/>
    </xf>
    <xf numFmtId="0" fontId="33" fillId="0" borderId="0" xfId="2" applyFont="1" applyAlignment="1">
      <alignment vertical="center" wrapText="1"/>
    </xf>
    <xf numFmtId="0" fontId="0" fillId="0" borderId="0" xfId="0" applyAlignment="1">
      <alignment vertical="center"/>
    </xf>
    <xf numFmtId="0" fontId="7" fillId="4" borderId="8" xfId="2" applyFont="1" applyFill="1" applyBorder="1" applyAlignment="1">
      <alignment vertical="center" wrapText="1"/>
    </xf>
    <xf numFmtId="0" fontId="9" fillId="0" borderId="44" xfId="2" applyBorder="1" applyAlignment="1">
      <alignment vertical="center" wrapText="1"/>
    </xf>
    <xf numFmtId="2" fontId="9" fillId="0" borderId="45" xfId="2" applyNumberFormat="1" applyBorder="1" applyAlignment="1">
      <alignment horizontal="center" vertical="center" wrapText="1"/>
    </xf>
    <xf numFmtId="0" fontId="7" fillId="0" borderId="44" xfId="2" applyFont="1" applyBorder="1" applyAlignment="1">
      <alignment vertical="center" wrapText="1"/>
    </xf>
    <xf numFmtId="0" fontId="10" fillId="0" borderId="19" xfId="2" applyFont="1" applyBorder="1" applyAlignment="1" applyProtection="1">
      <alignment horizontal="center" vertical="center" wrapText="1"/>
      <protection locked="0"/>
    </xf>
    <xf numFmtId="0" fontId="7" fillId="0" borderId="9" xfId="2" applyFont="1" applyBorder="1" applyAlignment="1">
      <alignment horizontal="center" vertical="center" wrapText="1"/>
    </xf>
    <xf numFmtId="0" fontId="7" fillId="0" borderId="45" xfId="2" applyFont="1" applyBorder="1" applyAlignment="1">
      <alignment horizontal="center" vertical="center" wrapText="1"/>
    </xf>
    <xf numFmtId="0" fontId="41" fillId="7" borderId="19" xfId="2" applyFont="1" applyFill="1" applyBorder="1" applyAlignment="1" applyProtection="1">
      <alignment horizontal="center" vertical="center" wrapText="1"/>
      <protection locked="0"/>
    </xf>
    <xf numFmtId="0" fontId="7" fillId="0" borderId="0" xfId="2" applyFont="1" applyAlignment="1">
      <alignment horizontal="left" vertical="center"/>
    </xf>
    <xf numFmtId="0" fontId="7" fillId="0" borderId="0" xfId="2" applyFont="1" applyAlignment="1">
      <alignment horizontal="left" vertical="center" wrapText="1"/>
    </xf>
    <xf numFmtId="0" fontId="14" fillId="0" borderId="0" xfId="2" applyFont="1" applyAlignment="1" applyProtection="1">
      <alignment horizontal="left" vertical="center" wrapText="1"/>
      <protection locked="0"/>
    </xf>
    <xf numFmtId="0" fontId="7" fillId="3" borderId="8" xfId="2" applyFont="1" applyFill="1" applyBorder="1" applyAlignment="1">
      <alignment vertical="center" wrapText="1"/>
    </xf>
    <xf numFmtId="0" fontId="7" fillId="3" borderId="9" xfId="2" applyFont="1" applyFill="1" applyBorder="1" applyAlignment="1">
      <alignment horizontal="center" vertical="center" wrapText="1"/>
    </xf>
    <xf numFmtId="0" fontId="10" fillId="0" borderId="10" xfId="2" applyFont="1" applyBorder="1" applyAlignment="1" applyProtection="1">
      <alignment horizontal="center" vertical="center" wrapText="1"/>
      <protection locked="0"/>
    </xf>
    <xf numFmtId="0" fontId="43" fillId="3" borderId="8" xfId="2" applyFont="1" applyFill="1" applyBorder="1" applyAlignment="1">
      <alignment vertical="center" wrapText="1"/>
    </xf>
    <xf numFmtId="0" fontId="43" fillId="3" borderId="9" xfId="2" applyFont="1" applyFill="1" applyBorder="1" applyAlignment="1">
      <alignment horizontal="center" vertical="center" wrapText="1"/>
    </xf>
    <xf numFmtId="2" fontId="43" fillId="3" borderId="9" xfId="2" applyNumberFormat="1" applyFont="1" applyFill="1" applyBorder="1" applyAlignment="1">
      <alignment horizontal="center" vertical="center" wrapText="1"/>
    </xf>
    <xf numFmtId="2" fontId="43" fillId="3" borderId="10" xfId="2" applyNumberFormat="1" applyFont="1" applyFill="1" applyBorder="1" applyAlignment="1">
      <alignment horizontal="center" vertical="center" wrapText="1"/>
    </xf>
    <xf numFmtId="9" fontId="7" fillId="0" borderId="9" xfId="3" applyFont="1" applyBorder="1" applyAlignment="1">
      <alignment horizontal="center" vertical="center" wrapText="1"/>
    </xf>
    <xf numFmtId="2" fontId="7" fillId="0" borderId="9" xfId="2" applyNumberFormat="1" applyFont="1" applyBorder="1" applyAlignment="1">
      <alignment horizontal="center" vertical="center" wrapText="1"/>
    </xf>
    <xf numFmtId="0" fontId="43" fillId="0" borderId="8" xfId="2" applyFont="1" applyBorder="1" applyAlignment="1">
      <alignment vertical="center" wrapText="1"/>
    </xf>
    <xf numFmtId="167" fontId="43" fillId="0" borderId="9" xfId="2" applyNumberFormat="1" applyFont="1" applyBorder="1" applyAlignment="1">
      <alignment horizontal="center" vertical="center" wrapText="1"/>
    </xf>
    <xf numFmtId="2" fontId="43" fillId="0" borderId="9" xfId="2" applyNumberFormat="1" applyFont="1" applyBorder="1" applyAlignment="1">
      <alignment horizontal="center" vertical="center" wrapText="1"/>
    </xf>
    <xf numFmtId="167" fontId="43" fillId="0" borderId="10" xfId="2" applyNumberFormat="1" applyFont="1" applyBorder="1" applyAlignment="1">
      <alignment horizontal="center" vertical="center" wrapText="1"/>
    </xf>
    <xf numFmtId="9" fontId="43" fillId="0" borderId="9" xfId="2" applyNumberFormat="1" applyFont="1" applyBorder="1" applyAlignment="1">
      <alignment horizontal="center" vertical="center" wrapText="1"/>
    </xf>
    <xf numFmtId="9" fontId="43" fillId="0" borderId="10" xfId="2" applyNumberFormat="1" applyFont="1" applyBorder="1" applyAlignment="1">
      <alignment horizontal="center" vertical="center" wrapText="1"/>
    </xf>
    <xf numFmtId="0" fontId="44" fillId="0" borderId="8" xfId="2" applyFont="1" applyBorder="1" applyAlignment="1">
      <alignment vertical="center" wrapText="1"/>
    </xf>
    <xf numFmtId="0" fontId="44" fillId="0" borderId="9" xfId="2" applyFont="1" applyBorder="1" applyAlignment="1">
      <alignment horizontal="center" vertical="center" wrapText="1"/>
    </xf>
    <xf numFmtId="2" fontId="44" fillId="0" borderId="9" xfId="2" applyNumberFormat="1" applyFont="1" applyBorder="1" applyAlignment="1">
      <alignment horizontal="center" vertical="center" wrapText="1"/>
    </xf>
    <xf numFmtId="0" fontId="44" fillId="0" borderId="10" xfId="2" applyFont="1" applyBorder="1" applyAlignment="1">
      <alignment horizontal="center" vertical="center" wrapText="1"/>
    </xf>
    <xf numFmtId="0" fontId="7" fillId="0" borderId="0" xfId="2" applyFont="1" applyAlignment="1" applyProtection="1">
      <alignment vertical="center"/>
      <protection locked="0"/>
    </xf>
    <xf numFmtId="10" fontId="43" fillId="0" borderId="9" xfId="2" applyNumberFormat="1" applyFont="1" applyBorder="1" applyAlignment="1">
      <alignment horizontal="center" vertical="center" wrapText="1"/>
    </xf>
    <xf numFmtId="10" fontId="43" fillId="0" borderId="10" xfId="2" applyNumberFormat="1" applyFont="1" applyBorder="1" applyAlignment="1">
      <alignment horizontal="center" vertical="center" wrapText="1"/>
    </xf>
    <xf numFmtId="0" fontId="7" fillId="0" borderId="10" xfId="2" applyFont="1" applyBorder="1" applyAlignment="1">
      <alignment horizontal="center" vertical="center" wrapText="1"/>
    </xf>
    <xf numFmtId="0" fontId="45" fillId="0" borderId="8" xfId="2" applyFont="1" applyBorder="1" applyAlignment="1">
      <alignment vertical="center" wrapText="1"/>
    </xf>
    <xf numFmtId="0" fontId="45" fillId="0" borderId="9" xfId="2" applyFont="1" applyBorder="1" applyAlignment="1">
      <alignment horizontal="center" vertical="center" wrapText="1"/>
    </xf>
    <xf numFmtId="2" fontId="45" fillId="0" borderId="9" xfId="2" applyNumberFormat="1" applyFont="1" applyBorder="1" applyAlignment="1">
      <alignment horizontal="center" vertical="center" wrapText="1"/>
    </xf>
    <xf numFmtId="0" fontId="45" fillId="0" borderId="10" xfId="2" applyFont="1" applyBorder="1" applyAlignment="1">
      <alignment horizontal="center" vertical="center" wrapText="1"/>
    </xf>
    <xf numFmtId="0" fontId="43" fillId="0" borderId="9" xfId="2" applyFont="1" applyBorder="1" applyAlignment="1">
      <alignment horizontal="center" vertical="center" wrapText="1"/>
    </xf>
    <xf numFmtId="0" fontId="43" fillId="0" borderId="10" xfId="2" applyFont="1" applyBorder="1" applyAlignment="1">
      <alignment horizontal="center" vertical="center" wrapText="1"/>
    </xf>
    <xf numFmtId="0" fontId="46" fillId="0" borderId="0" xfId="2" applyFont="1" applyAlignment="1">
      <alignment vertical="center"/>
    </xf>
    <xf numFmtId="0" fontId="47" fillId="0" borderId="8" xfId="2" applyFont="1" applyBorder="1" applyAlignment="1">
      <alignment vertical="center" wrapText="1"/>
    </xf>
    <xf numFmtId="0" fontId="47" fillId="0" borderId="9" xfId="2" applyFont="1" applyBorder="1" applyAlignment="1">
      <alignment horizontal="center" vertical="center" wrapText="1"/>
    </xf>
    <xf numFmtId="2" fontId="47" fillId="0" borderId="9" xfId="2" applyNumberFormat="1" applyFont="1" applyBorder="1" applyAlignment="1">
      <alignment horizontal="center" vertical="center" wrapText="1"/>
    </xf>
    <xf numFmtId="0" fontId="47" fillId="0" borderId="10" xfId="2" applyFont="1" applyBorder="1" applyAlignment="1">
      <alignment horizontal="center" vertical="center" wrapText="1"/>
    </xf>
    <xf numFmtId="0" fontId="47" fillId="3" borderId="8" xfId="2" applyFont="1" applyFill="1" applyBorder="1" applyAlignment="1">
      <alignment vertical="center" wrapText="1"/>
    </xf>
    <xf numFmtId="0" fontId="47" fillId="3" borderId="9" xfId="2" applyFont="1" applyFill="1" applyBorder="1" applyAlignment="1">
      <alignment horizontal="center" vertical="center" wrapText="1"/>
    </xf>
    <xf numFmtId="2" fontId="47" fillId="3" borderId="9" xfId="2" applyNumberFormat="1" applyFont="1" applyFill="1" applyBorder="1" applyAlignment="1">
      <alignment horizontal="center" vertical="center" wrapText="1"/>
    </xf>
    <xf numFmtId="2" fontId="47" fillId="3" borderId="10" xfId="2" applyNumberFormat="1" applyFont="1" applyFill="1" applyBorder="1" applyAlignment="1">
      <alignment horizontal="center" vertical="center" wrapText="1"/>
    </xf>
    <xf numFmtId="0" fontId="48" fillId="9" borderId="23" xfId="2" applyFont="1" applyFill="1" applyBorder="1" applyAlignment="1" applyProtection="1">
      <alignment horizontal="center" vertical="center" wrapText="1"/>
      <protection locked="0"/>
    </xf>
    <xf numFmtId="0" fontId="48" fillId="9" borderId="24" xfId="2" applyFont="1" applyFill="1" applyBorder="1" applyAlignment="1">
      <alignment horizontal="center" vertical="center" wrapText="1"/>
    </xf>
    <xf numFmtId="0" fontId="48" fillId="9" borderId="24" xfId="2" applyFont="1" applyFill="1" applyBorder="1" applyAlignment="1" applyProtection="1">
      <alignment horizontal="center" vertical="center" wrapText="1"/>
      <protection locked="0"/>
    </xf>
    <xf numFmtId="0" fontId="17" fillId="0" borderId="18" xfId="2" applyFont="1" applyBorder="1" applyAlignment="1" applyProtection="1">
      <alignment horizontal="center" vertical="center"/>
      <protection locked="0"/>
    </xf>
    <xf numFmtId="0" fontId="17" fillId="0" borderId="34" xfId="2" applyFont="1" applyBorder="1" applyAlignment="1" applyProtection="1">
      <alignment horizontal="center" vertical="center"/>
      <protection locked="0"/>
    </xf>
    <xf numFmtId="2" fontId="13" fillId="0" borderId="10" xfId="2" applyNumberFormat="1" applyFont="1" applyBorder="1" applyAlignment="1">
      <alignment horizontal="center" vertical="center" wrapText="1"/>
    </xf>
    <xf numFmtId="2" fontId="10" fillId="0" borderId="1" xfId="2" applyNumberFormat="1" applyFont="1" applyBorder="1" applyAlignment="1">
      <alignment horizontal="center" vertical="center" wrapText="1"/>
    </xf>
    <xf numFmtId="0" fontId="10" fillId="0" borderId="0" xfId="2" applyFont="1" applyAlignment="1">
      <alignment vertical="center"/>
    </xf>
    <xf numFmtId="168" fontId="7" fillId="0" borderId="0" xfId="2" applyNumberFormat="1" applyFont="1" applyAlignment="1">
      <alignment horizontal="center" vertical="center" wrapText="1"/>
    </xf>
    <xf numFmtId="0" fontId="7" fillId="0" borderId="0" xfId="2" applyFont="1" applyAlignment="1">
      <alignment vertical="center"/>
    </xf>
    <xf numFmtId="0" fontId="13" fillId="10" borderId="1" xfId="2" applyFont="1" applyFill="1" applyBorder="1" applyAlignment="1" applyProtection="1">
      <alignment vertical="center" wrapText="1"/>
      <protection locked="0"/>
    </xf>
    <xf numFmtId="0" fontId="30" fillId="0" borderId="24" xfId="2" applyFont="1" applyBorder="1" applyAlignment="1">
      <alignment horizontal="left" vertical="center" wrapText="1"/>
    </xf>
    <xf numFmtId="49" fontId="31" fillId="0" borderId="24" xfId="2" applyNumberFormat="1" applyFont="1" applyBorder="1" applyAlignment="1">
      <alignment horizontal="left" vertical="center" wrapText="1"/>
    </xf>
    <xf numFmtId="49" fontId="30" fillId="0" borderId="24" xfId="2" applyNumberFormat="1" applyFont="1" applyBorder="1" applyAlignment="1">
      <alignment horizontal="center" vertical="center" wrapText="1"/>
    </xf>
    <xf numFmtId="0" fontId="31" fillId="0" borderId="24" xfId="2" applyFont="1" applyBorder="1" applyAlignment="1">
      <alignment horizontal="center" vertical="center" wrapText="1"/>
    </xf>
    <xf numFmtId="2" fontId="15" fillId="15" borderId="1" xfId="2" applyNumberFormat="1" applyFont="1" applyFill="1" applyBorder="1" applyAlignment="1">
      <alignment horizontal="center" vertical="center" wrapText="1"/>
    </xf>
    <xf numFmtId="0" fontId="49" fillId="11" borderId="3" xfId="2" applyFont="1" applyFill="1" applyBorder="1" applyAlignment="1">
      <alignment vertical="center" wrapText="1"/>
    </xf>
    <xf numFmtId="2" fontId="49" fillId="11" borderId="1" xfId="2" applyNumberFormat="1" applyFont="1" applyFill="1" applyBorder="1" applyAlignment="1">
      <alignment horizontal="center" vertical="center" wrapText="1"/>
    </xf>
    <xf numFmtId="0" fontId="15" fillId="15" borderId="3" xfId="2" applyFont="1" applyFill="1" applyBorder="1" applyAlignment="1">
      <alignment vertical="center" wrapText="1"/>
    </xf>
    <xf numFmtId="0" fontId="50" fillId="15" borderId="2" xfId="2" applyFont="1" applyFill="1" applyBorder="1" applyAlignment="1">
      <alignment horizontal="center" vertical="center" wrapText="1"/>
    </xf>
    <xf numFmtId="0" fontId="49" fillId="11" borderId="31" xfId="2" applyFont="1" applyFill="1" applyBorder="1" applyAlignment="1">
      <alignment horizontal="center" vertical="center" wrapText="1"/>
    </xf>
    <xf numFmtId="0" fontId="10" fillId="14" borderId="1" xfId="2" applyFont="1" applyFill="1" applyBorder="1" applyAlignment="1">
      <alignment horizontal="center" vertical="center" wrapText="1"/>
    </xf>
    <xf numFmtId="170" fontId="10" fillId="14" borderId="1" xfId="2" applyNumberFormat="1" applyFont="1" applyFill="1" applyBorder="1" applyAlignment="1">
      <alignment horizontal="center" vertical="center" wrapText="1"/>
    </xf>
    <xf numFmtId="0" fontId="42" fillId="16" borderId="4" xfId="2" applyFont="1" applyFill="1" applyBorder="1" applyAlignment="1">
      <alignment vertical="center" wrapText="1"/>
    </xf>
    <xf numFmtId="0" fontId="9" fillId="16" borderId="5" xfId="2" applyFill="1" applyBorder="1" applyAlignment="1">
      <alignment horizontal="center" vertical="center" wrapText="1"/>
    </xf>
    <xf numFmtId="0" fontId="9" fillId="16" borderId="6" xfId="2" applyFill="1" applyBorder="1" applyAlignment="1">
      <alignment horizontal="center" vertical="center" wrapText="1"/>
    </xf>
    <xf numFmtId="0" fontId="18" fillId="16" borderId="4" xfId="2" applyFont="1" applyFill="1" applyBorder="1" applyAlignment="1">
      <alignment vertical="center" wrapText="1"/>
    </xf>
    <xf numFmtId="0" fontId="18" fillId="16" borderId="8" xfId="2" applyFont="1" applyFill="1" applyBorder="1" applyAlignment="1">
      <alignment vertical="center" wrapText="1"/>
    </xf>
    <xf numFmtId="0" fontId="9" fillId="16" borderId="9" xfId="2" applyFill="1" applyBorder="1" applyAlignment="1">
      <alignment horizontal="center" vertical="center" wrapText="1"/>
    </xf>
    <xf numFmtId="0" fontId="9" fillId="16" borderId="10" xfId="2" applyFill="1" applyBorder="1" applyAlignment="1">
      <alignment horizontal="center" vertical="center" wrapText="1"/>
    </xf>
    <xf numFmtId="2" fontId="10" fillId="0" borderId="24" xfId="2" applyNumberFormat="1" applyFont="1" applyBorder="1" applyAlignment="1">
      <alignment horizontal="center" vertical="center"/>
    </xf>
    <xf numFmtId="0" fontId="52" fillId="0" borderId="0" xfId="2" applyFont="1" applyAlignment="1">
      <alignment horizontal="right" vertical="center"/>
    </xf>
    <xf numFmtId="0" fontId="53" fillId="0" borderId="0" xfId="2" applyFont="1" applyAlignment="1">
      <alignment horizontal="right" vertical="center" wrapText="1"/>
    </xf>
    <xf numFmtId="0" fontId="52" fillId="0" borderId="0" xfId="2" applyFont="1" applyAlignment="1">
      <alignment horizontal="right" vertical="center" wrapText="1"/>
    </xf>
    <xf numFmtId="0" fontId="10" fillId="13" borderId="10" xfId="2" applyFont="1" applyFill="1" applyBorder="1" applyAlignment="1" applyProtection="1">
      <alignment horizontal="center" vertical="center" wrapText="1"/>
      <protection locked="0"/>
    </xf>
    <xf numFmtId="0" fontId="7" fillId="0" borderId="23" xfId="2" applyFont="1" applyBorder="1" applyAlignment="1" applyProtection="1">
      <alignment horizontal="center" vertical="center"/>
      <protection locked="0"/>
    </xf>
    <xf numFmtId="2" fontId="7" fillId="0" borderId="24" xfId="2" applyNumberFormat="1" applyFont="1" applyBorder="1" applyAlignment="1" applyProtection="1">
      <alignment horizontal="center" vertical="center"/>
      <protection locked="0"/>
    </xf>
    <xf numFmtId="1" fontId="7" fillId="0" borderId="24" xfId="2" applyNumberFormat="1" applyFont="1" applyBorder="1" applyAlignment="1" applyProtection="1">
      <alignment horizontal="center" vertical="center"/>
      <protection locked="0"/>
    </xf>
    <xf numFmtId="2" fontId="7" fillId="0" borderId="25" xfId="2" applyNumberFormat="1" applyFont="1" applyBorder="1" applyAlignment="1" applyProtection="1">
      <alignment horizontal="center" vertical="center"/>
      <protection locked="0"/>
    </xf>
    <xf numFmtId="0" fontId="7" fillId="0" borderId="24" xfId="2" applyFont="1" applyBorder="1" applyAlignment="1" applyProtection="1">
      <alignment horizontal="center" vertical="center"/>
      <protection locked="0"/>
    </xf>
    <xf numFmtId="0" fontId="7" fillId="0" borderId="26" xfId="2" applyFont="1" applyBorder="1" applyAlignment="1" applyProtection="1">
      <alignment horizontal="center" vertical="center"/>
      <protection locked="0"/>
    </xf>
    <xf numFmtId="2" fontId="7" fillId="0" borderId="24" xfId="2" applyNumberFormat="1" applyFont="1" applyBorder="1" applyAlignment="1" applyProtection="1">
      <alignment horizontal="center" vertical="center" wrapText="1"/>
      <protection locked="0"/>
    </xf>
    <xf numFmtId="2" fontId="7" fillId="0" borderId="27" xfId="2" applyNumberFormat="1" applyFont="1" applyBorder="1" applyAlignment="1" applyProtection="1">
      <alignment horizontal="center" vertical="center"/>
      <protection locked="0"/>
    </xf>
    <xf numFmtId="0" fontId="54" fillId="0" borderId="24" xfId="2" applyFont="1" applyBorder="1" applyAlignment="1">
      <alignment horizontal="center" vertical="center"/>
    </xf>
    <xf numFmtId="2" fontId="7" fillId="18" borderId="25" xfId="2" applyNumberFormat="1" applyFont="1" applyFill="1" applyBorder="1" applyAlignment="1" applyProtection="1">
      <alignment horizontal="center" vertical="center"/>
      <protection locked="0"/>
    </xf>
    <xf numFmtId="0" fontId="7" fillId="18" borderId="25" xfId="2" applyFont="1" applyFill="1" applyBorder="1" applyAlignment="1" applyProtection="1">
      <alignment horizontal="center" vertical="center"/>
      <protection locked="0"/>
    </xf>
    <xf numFmtId="0" fontId="55" fillId="0" borderId="0" xfId="2" applyFont="1" applyAlignment="1" applyProtection="1">
      <alignment vertical="center"/>
      <protection locked="0"/>
    </xf>
    <xf numFmtId="0" fontId="55" fillId="0" borderId="0" xfId="2" applyFont="1" applyAlignment="1">
      <alignment vertical="center"/>
    </xf>
    <xf numFmtId="0" fontId="55" fillId="0" borderId="17" xfId="2" applyFont="1" applyBorder="1" applyAlignment="1" applyProtection="1">
      <alignment vertical="center"/>
      <protection locked="0"/>
    </xf>
    <xf numFmtId="0" fontId="55" fillId="0" borderId="17" xfId="2" applyFont="1" applyBorder="1" applyAlignment="1" applyProtection="1">
      <alignment vertical="center" wrapText="1"/>
      <protection locked="0"/>
    </xf>
    <xf numFmtId="9" fontId="55" fillId="0" borderId="0" xfId="2" applyNumberFormat="1" applyFont="1" applyAlignment="1" applyProtection="1">
      <alignment vertical="center"/>
      <protection locked="0"/>
    </xf>
    <xf numFmtId="0" fontId="56" fillId="0" borderId="0" xfId="2" applyFont="1" applyAlignment="1" applyProtection="1">
      <alignment vertical="center"/>
      <protection locked="0"/>
    </xf>
    <xf numFmtId="2" fontId="10" fillId="8" borderId="10" xfId="2" applyNumberFormat="1" applyFont="1" applyFill="1" applyBorder="1" applyAlignment="1">
      <alignment horizontal="center" vertical="center" wrapText="1"/>
    </xf>
    <xf numFmtId="0" fontId="10" fillId="14" borderId="1" xfId="2" applyFont="1" applyFill="1" applyBorder="1" applyAlignment="1" applyProtection="1">
      <alignment horizontal="left" vertical="center" wrapText="1"/>
      <protection locked="0"/>
    </xf>
    <xf numFmtId="0" fontId="10" fillId="0" borderId="2" xfId="2" applyFont="1" applyBorder="1" applyAlignment="1" applyProtection="1">
      <alignment horizontal="left" vertical="center" wrapText="1"/>
      <protection locked="0"/>
    </xf>
    <xf numFmtId="0" fontId="51" fillId="0" borderId="2" xfId="2" applyFont="1" applyBorder="1" applyAlignment="1" applyProtection="1">
      <alignment horizontal="left" vertical="center" wrapText="1"/>
      <protection locked="0"/>
    </xf>
    <xf numFmtId="164" fontId="10" fillId="14" borderId="1" xfId="1" applyNumberFormat="1" applyFont="1" applyFill="1" applyBorder="1" applyAlignment="1" applyProtection="1">
      <alignment horizontal="left" vertical="center" wrapText="1"/>
      <protection locked="0"/>
    </xf>
    <xf numFmtId="0" fontId="10" fillId="0" borderId="0" xfId="2" applyFont="1" applyAlignment="1">
      <alignment horizontal="right" vertical="center" wrapText="1"/>
    </xf>
    <xf numFmtId="0" fontId="46" fillId="0" borderId="9" xfId="2" applyFont="1" applyBorder="1" applyAlignment="1">
      <alignment horizontal="center" vertical="center" wrapText="1"/>
    </xf>
    <xf numFmtId="0" fontId="58" fillId="0" borderId="0" xfId="2" applyFont="1" applyAlignment="1">
      <alignment horizontal="center" vertical="center"/>
    </xf>
    <xf numFmtId="0" fontId="58" fillId="0" borderId="0" xfId="2" applyFont="1" applyAlignment="1">
      <alignment vertical="center"/>
    </xf>
    <xf numFmtId="0" fontId="58" fillId="0" borderId="0" xfId="2" applyFont="1" applyAlignment="1" applyProtection="1">
      <alignment horizontal="center" vertical="center"/>
      <protection locked="0"/>
    </xf>
    <xf numFmtId="0" fontId="27" fillId="0" borderId="0" xfId="2" applyFont="1" applyAlignment="1">
      <alignment horizontal="center"/>
    </xf>
    <xf numFmtId="1" fontId="7" fillId="0" borderId="0" xfId="2" applyNumberFormat="1" applyFont="1" applyAlignment="1" applyProtection="1">
      <alignment horizontal="center" vertical="center"/>
      <protection locked="0"/>
    </xf>
    <xf numFmtId="0" fontId="27" fillId="0" borderId="0" xfId="2" applyFont="1" applyAlignment="1">
      <alignment horizontal="left"/>
    </xf>
    <xf numFmtId="0" fontId="48" fillId="0" borderId="0" xfId="2" applyFont="1" applyAlignment="1" applyProtection="1">
      <alignment horizontal="center" vertical="center" wrapText="1"/>
      <protection locked="0"/>
    </xf>
    <xf numFmtId="0" fontId="58" fillId="0" borderId="0" xfId="2" applyFont="1" applyAlignment="1">
      <alignment horizontal="left" vertical="center"/>
    </xf>
    <xf numFmtId="0" fontId="58" fillId="0" borderId="0" xfId="2" applyFont="1" applyAlignment="1" applyProtection="1">
      <alignment horizontal="left" vertical="center"/>
      <protection locked="0"/>
    </xf>
    <xf numFmtId="0" fontId="58" fillId="0" borderId="0" xfId="2" applyFont="1" applyAlignment="1" applyProtection="1">
      <alignment horizontal="left" vertical="center" wrapText="1"/>
      <protection locked="0"/>
    </xf>
    <xf numFmtId="0" fontId="58" fillId="12" borderId="0" xfId="2" applyFont="1" applyFill="1" applyAlignment="1">
      <alignment horizontal="center" vertical="center"/>
    </xf>
    <xf numFmtId="165" fontId="17" fillId="0" borderId="48" xfId="2" applyNumberFormat="1" applyFont="1" applyBorder="1" applyAlignment="1" applyProtection="1">
      <alignment horizontal="center" vertical="center"/>
      <protection locked="0"/>
    </xf>
    <xf numFmtId="0" fontId="17" fillId="14" borderId="9" xfId="2" applyFont="1" applyFill="1" applyBorder="1" applyAlignment="1" applyProtection="1">
      <alignment horizontal="center" vertical="center"/>
      <protection locked="0"/>
    </xf>
    <xf numFmtId="0" fontId="17" fillId="14" borderId="14" xfId="2" applyFont="1" applyFill="1" applyBorder="1" applyAlignment="1" applyProtection="1">
      <alignment horizontal="center" vertical="center"/>
      <protection locked="0"/>
    </xf>
    <xf numFmtId="0" fontId="59" fillId="0" borderId="0" xfId="2" applyFont="1" applyAlignment="1">
      <alignment horizontal="left" vertical="center"/>
    </xf>
    <xf numFmtId="0" fontId="60" fillId="0" borderId="0" xfId="2" applyFont="1" applyAlignment="1">
      <alignment horizontal="left" vertical="center"/>
    </xf>
    <xf numFmtId="0" fontId="61" fillId="17" borderId="10" xfId="2" applyFont="1" applyFill="1" applyBorder="1" applyAlignment="1">
      <alignment horizontal="center" vertical="center" wrapText="1"/>
    </xf>
    <xf numFmtId="0" fontId="61" fillId="6" borderId="10" xfId="2" applyFont="1" applyFill="1" applyBorder="1" applyAlignment="1" applyProtection="1">
      <alignment horizontal="center" vertical="center" wrapText="1"/>
      <protection locked="0"/>
    </xf>
    <xf numFmtId="0" fontId="61" fillId="2" borderId="10" xfId="2" applyFont="1" applyFill="1" applyBorder="1" applyAlignment="1" applyProtection="1">
      <alignment horizontal="center" vertical="center" wrapText="1"/>
      <protection locked="0"/>
    </xf>
    <xf numFmtId="171" fontId="31" fillId="0" borderId="24" xfId="2" applyNumberFormat="1" applyFont="1" applyBorder="1" applyAlignment="1">
      <alignment horizontal="center" vertical="center" wrapText="1"/>
    </xf>
    <xf numFmtId="166" fontId="31" fillId="0" borderId="24" xfId="2" applyNumberFormat="1" applyFont="1" applyBorder="1" applyAlignment="1">
      <alignment horizontal="center" vertical="center" wrapText="1"/>
    </xf>
    <xf numFmtId="2" fontId="7" fillId="0" borderId="23" xfId="2" applyNumberFormat="1" applyFont="1" applyBorder="1" applyAlignment="1" applyProtection="1">
      <alignment horizontal="center" vertical="center"/>
      <protection locked="0"/>
    </xf>
    <xf numFmtId="0" fontId="48" fillId="9" borderId="25" xfId="2" applyFont="1" applyFill="1" applyBorder="1" applyAlignment="1" applyProtection="1">
      <alignment horizontal="center" vertical="center" wrapText="1"/>
      <protection locked="0"/>
    </xf>
    <xf numFmtId="2" fontId="7" fillId="18" borderId="27" xfId="2" applyNumberFormat="1" applyFont="1" applyFill="1" applyBorder="1" applyAlignment="1" applyProtection="1">
      <alignment horizontal="center" vertical="center"/>
      <protection locked="0"/>
    </xf>
    <xf numFmtId="2" fontId="7" fillId="19" borderId="25" xfId="2" applyNumberFormat="1" applyFont="1" applyFill="1" applyBorder="1" applyAlignment="1" applyProtection="1">
      <alignment horizontal="center" vertical="center"/>
      <protection locked="0"/>
    </xf>
    <xf numFmtId="0" fontId="17" fillId="14" borderId="49" xfId="2" applyFont="1" applyFill="1" applyBorder="1" applyAlignment="1" applyProtection="1">
      <alignment horizontal="center" vertical="center"/>
      <protection locked="0"/>
    </xf>
    <xf numFmtId="2" fontId="48" fillId="20" borderId="24" xfId="2" applyNumberFormat="1" applyFont="1" applyFill="1" applyBorder="1" applyAlignment="1" applyProtection="1">
      <alignment horizontal="center" vertical="center"/>
      <protection locked="0"/>
    </xf>
    <xf numFmtId="164" fontId="11" fillId="0" borderId="0" xfId="1" applyNumberFormat="1" applyFont="1" applyFill="1" applyBorder="1" applyAlignment="1" applyProtection="1">
      <alignment vertical="center" wrapText="1"/>
      <protection locked="0"/>
    </xf>
    <xf numFmtId="0" fontId="10" fillId="14" borderId="1" xfId="2" applyFont="1" applyFill="1" applyBorder="1" applyAlignment="1">
      <alignment horizontal="center" vertical="center"/>
    </xf>
    <xf numFmtId="0" fontId="27" fillId="0" borderId="0" xfId="2" applyFont="1" applyAlignment="1">
      <alignment horizontal="center" vertical="center"/>
    </xf>
    <xf numFmtId="0" fontId="10" fillId="0" borderId="1" xfId="2" applyFont="1" applyBorder="1" applyAlignment="1">
      <alignment vertical="center" wrapText="1"/>
    </xf>
    <xf numFmtId="0" fontId="27" fillId="0" borderId="0" xfId="2" applyFont="1" applyAlignment="1">
      <alignment horizontal="center" wrapText="1"/>
    </xf>
    <xf numFmtId="2" fontId="10" fillId="0" borderId="0" xfId="2" applyNumberFormat="1" applyFont="1" applyAlignment="1">
      <alignment horizontal="center" vertical="center"/>
    </xf>
    <xf numFmtId="2" fontId="10" fillId="14" borderId="31" xfId="2" applyNumberFormat="1" applyFont="1" applyFill="1" applyBorder="1" applyAlignment="1">
      <alignment horizontal="center" vertical="center" wrapText="1"/>
    </xf>
    <xf numFmtId="2" fontId="9" fillId="0" borderId="0" xfId="2" applyNumberFormat="1" applyAlignment="1">
      <alignment horizontal="center" vertical="center"/>
    </xf>
    <xf numFmtId="2" fontId="10" fillId="14" borderId="31" xfId="2" applyNumberFormat="1" applyFont="1" applyFill="1" applyBorder="1" applyAlignment="1">
      <alignment horizontal="center" vertical="center"/>
    </xf>
    <xf numFmtId="0" fontId="10" fillId="21" borderId="4" xfId="2" applyFont="1" applyFill="1" applyBorder="1" applyAlignment="1">
      <alignment horizontal="left" vertical="center" wrapText="1"/>
    </xf>
    <xf numFmtId="0" fontId="10" fillId="21" borderId="5" xfId="2" applyFont="1" applyFill="1" applyBorder="1" applyAlignment="1">
      <alignment horizontal="center" vertical="center" wrapText="1"/>
    </xf>
    <xf numFmtId="0" fontId="10" fillId="21" borderId="6" xfId="2" applyFont="1" applyFill="1" applyBorder="1" applyAlignment="1">
      <alignment horizontal="center" vertical="center" wrapText="1"/>
    </xf>
    <xf numFmtId="0" fontId="10" fillId="22" borderId="7" xfId="2" applyFont="1" applyFill="1" applyBorder="1" applyAlignment="1">
      <alignment horizontal="center" vertical="center" wrapText="1"/>
    </xf>
    <xf numFmtId="0" fontId="10" fillId="22" borderId="5" xfId="2" applyFont="1" applyFill="1" applyBorder="1" applyAlignment="1">
      <alignment horizontal="center" vertical="center" wrapText="1"/>
    </xf>
    <xf numFmtId="0" fontId="10" fillId="22" borderId="6" xfId="2" applyFont="1" applyFill="1" applyBorder="1" applyAlignment="1">
      <alignment horizontal="center" vertical="center" wrapText="1"/>
    </xf>
    <xf numFmtId="0" fontId="31" fillId="0" borderId="24" xfId="2" applyFont="1" applyBorder="1" applyAlignment="1">
      <alignment horizontal="left" vertical="center" wrapText="1"/>
    </xf>
    <xf numFmtId="0" fontId="1" fillId="23" borderId="24" xfId="10" applyFill="1" applyBorder="1"/>
    <xf numFmtId="0" fontId="1" fillId="23" borderId="0" xfId="10" applyFill="1"/>
    <xf numFmtId="0" fontId="1" fillId="0" borderId="24" xfId="10" applyBorder="1"/>
    <xf numFmtId="0" fontId="1" fillId="0" borderId="24" xfId="10" quotePrefix="1" applyBorder="1"/>
    <xf numFmtId="0" fontId="1" fillId="0" borderId="0" xfId="10"/>
    <xf numFmtId="0" fontId="1" fillId="24" borderId="24" xfId="10" quotePrefix="1" applyFill="1" applyBorder="1"/>
    <xf numFmtId="0" fontId="1" fillId="24" borderId="0" xfId="10" applyFill="1"/>
    <xf numFmtId="0" fontId="1" fillId="23" borderId="24" xfId="10" applyFill="1" applyBorder="1" applyAlignment="1">
      <alignment horizontal="center"/>
    </xf>
    <xf numFmtId="0" fontId="1" fillId="0" borderId="24" xfId="10" applyBorder="1" applyAlignment="1">
      <alignment horizontal="center"/>
    </xf>
    <xf numFmtId="0" fontId="1" fillId="24" borderId="24" xfId="10" applyFill="1" applyBorder="1" applyAlignment="1">
      <alignment horizontal="center"/>
    </xf>
    <xf numFmtId="0" fontId="1" fillId="0" borderId="0" xfId="10" applyAlignment="1">
      <alignment horizontal="center"/>
    </xf>
    <xf numFmtId="0" fontId="9" fillId="0" borderId="33" xfId="2" applyBorder="1" applyAlignment="1">
      <alignment horizontal="left" vertical="center" wrapText="1"/>
    </xf>
    <xf numFmtId="0" fontId="9" fillId="0" borderId="34" xfId="2" applyBorder="1" applyAlignment="1">
      <alignment horizontal="left" vertical="center" wrapText="1"/>
    </xf>
    <xf numFmtId="0" fontId="17" fillId="0" borderId="18" xfId="2" applyFont="1" applyBorder="1" applyAlignment="1" applyProtection="1">
      <alignment horizontal="center" vertical="center"/>
      <protection locked="0"/>
    </xf>
    <xf numFmtId="0" fontId="17" fillId="0" borderId="34" xfId="2" applyFont="1" applyBorder="1" applyAlignment="1" applyProtection="1">
      <alignment horizontal="center" vertical="center"/>
      <protection locked="0"/>
    </xf>
    <xf numFmtId="0" fontId="10" fillId="0" borderId="23" xfId="2" applyFont="1" applyBorder="1" applyAlignment="1" applyProtection="1">
      <alignment horizontal="center" vertical="center"/>
      <protection locked="0"/>
    </xf>
    <xf numFmtId="0" fontId="10" fillId="0" borderId="25" xfId="2" applyFont="1" applyBorder="1" applyAlignment="1" applyProtection="1">
      <alignment horizontal="center" vertical="center"/>
      <protection locked="0"/>
    </xf>
    <xf numFmtId="0" fontId="48" fillId="9" borderId="24" xfId="2" applyFont="1" applyFill="1" applyBorder="1" applyAlignment="1" applyProtection="1">
      <alignment horizontal="left" vertical="center" wrapText="1"/>
      <protection locked="0"/>
    </xf>
    <xf numFmtId="2" fontId="7" fillId="0" borderId="24" xfId="2" applyNumberFormat="1" applyFont="1" applyBorder="1" applyAlignment="1" applyProtection="1">
      <alignment horizontal="left" vertical="center"/>
      <protection locked="0"/>
    </xf>
    <xf numFmtId="0" fontId="7" fillId="0" borderId="24" xfId="2" applyFont="1" applyBorder="1" applyAlignment="1" applyProtection="1">
      <alignment horizontal="left" vertical="center"/>
      <protection locked="0"/>
    </xf>
    <xf numFmtId="0" fontId="17" fillId="0" borderId="35" xfId="2" applyFont="1" applyBorder="1" applyAlignment="1" applyProtection="1">
      <alignment horizontal="center" vertical="center"/>
      <protection locked="0"/>
    </xf>
    <xf numFmtId="0" fontId="17" fillId="0" borderId="36" xfId="2" applyFont="1" applyBorder="1" applyAlignment="1" applyProtection="1">
      <alignment horizontal="center" vertical="center"/>
      <protection locked="0"/>
    </xf>
    <xf numFmtId="0" fontId="52" fillId="0" borderId="17" xfId="2" applyFont="1" applyBorder="1" applyAlignment="1">
      <alignment horizontal="right" vertical="center"/>
    </xf>
    <xf numFmtId="0" fontId="52" fillId="0" borderId="38" xfId="2" applyFont="1" applyBorder="1" applyAlignment="1">
      <alignment horizontal="right" vertical="center"/>
    </xf>
    <xf numFmtId="0" fontId="39" fillId="5" borderId="42" xfId="2" applyFont="1" applyFill="1" applyBorder="1" applyAlignment="1" applyProtection="1">
      <alignment horizontal="left" vertical="center" wrapText="1"/>
      <protection locked="0"/>
    </xf>
    <xf numFmtId="0" fontId="39" fillId="5" borderId="37" xfId="2" applyFont="1" applyFill="1" applyBorder="1" applyAlignment="1" applyProtection="1">
      <alignment horizontal="left" vertical="center" wrapText="1"/>
      <protection locked="0"/>
    </xf>
    <xf numFmtId="0" fontId="39" fillId="5" borderId="43" xfId="2" applyFont="1" applyFill="1" applyBorder="1" applyAlignment="1" applyProtection="1">
      <alignment horizontal="left" vertical="center" wrapText="1"/>
      <protection locked="0"/>
    </xf>
    <xf numFmtId="0" fontId="13" fillId="10" borderId="3" xfId="2" applyFont="1" applyFill="1" applyBorder="1" applyAlignment="1" applyProtection="1">
      <alignment horizontal="left" vertical="center"/>
      <protection locked="0"/>
    </xf>
    <xf numFmtId="0" fontId="13" fillId="10" borderId="2" xfId="2" applyFont="1" applyFill="1" applyBorder="1" applyAlignment="1" applyProtection="1">
      <alignment horizontal="left" vertical="center"/>
      <protection locked="0"/>
    </xf>
    <xf numFmtId="0" fontId="13" fillId="10" borderId="31" xfId="2" applyFont="1" applyFill="1" applyBorder="1" applyAlignment="1" applyProtection="1">
      <alignment horizontal="left" vertical="center"/>
      <protection locked="0"/>
    </xf>
    <xf numFmtId="0" fontId="10" fillId="0" borderId="0" xfId="2" applyFont="1" applyAlignment="1">
      <alignment horizontal="right" vertical="center" wrapText="1"/>
    </xf>
    <xf numFmtId="0" fontId="10" fillId="22" borderId="40" xfId="2" applyFont="1" applyFill="1" applyBorder="1" applyAlignment="1">
      <alignment horizontal="center" vertical="center" wrapText="1"/>
    </xf>
    <xf numFmtId="0" fontId="10" fillId="22" borderId="41" xfId="2" applyFont="1" applyFill="1" applyBorder="1" applyAlignment="1">
      <alignment horizontal="center" vertical="center" wrapText="1"/>
    </xf>
    <xf numFmtId="0" fontId="57" fillId="14" borderId="46" xfId="2" applyFont="1" applyFill="1" applyBorder="1" applyAlignment="1">
      <alignment horizontal="left" vertical="center" wrapText="1"/>
    </xf>
    <xf numFmtId="0" fontId="57" fillId="14" borderId="28" xfId="2" applyFont="1" applyFill="1" applyBorder="1" applyAlignment="1">
      <alignment horizontal="left" vertical="center" wrapText="1"/>
    </xf>
    <xf numFmtId="0" fontId="57" fillId="14" borderId="47" xfId="2" applyFont="1" applyFill="1" applyBorder="1" applyAlignment="1">
      <alignment horizontal="left" vertical="center" wrapText="1"/>
    </xf>
    <xf numFmtId="0" fontId="57" fillId="14" borderId="17" xfId="2" applyFont="1" applyFill="1" applyBorder="1" applyAlignment="1">
      <alignment horizontal="left" vertical="center" wrapText="1"/>
    </xf>
    <xf numFmtId="0" fontId="57" fillId="14" borderId="0" xfId="2" applyFont="1" applyFill="1" applyAlignment="1">
      <alignment horizontal="left" vertical="center" wrapText="1"/>
    </xf>
    <xf numFmtId="0" fontId="57" fillId="14" borderId="38" xfId="2" applyFont="1" applyFill="1" applyBorder="1" applyAlignment="1">
      <alignment horizontal="left" vertical="center" wrapText="1"/>
    </xf>
    <xf numFmtId="0" fontId="57" fillId="14" borderId="39" xfId="2" applyFont="1" applyFill="1" applyBorder="1" applyAlignment="1">
      <alignment horizontal="left" vertical="center" wrapText="1"/>
    </xf>
    <xf numFmtId="0" fontId="57" fillId="14" borderId="29" xfId="2" applyFont="1" applyFill="1" applyBorder="1" applyAlignment="1">
      <alignment horizontal="left" vertical="center" wrapText="1"/>
    </xf>
    <xf numFmtId="0" fontId="57" fillId="14" borderId="30" xfId="2" applyFont="1" applyFill="1" applyBorder="1" applyAlignment="1">
      <alignment horizontal="left" vertical="center" wrapText="1"/>
    </xf>
    <xf numFmtId="0" fontId="10" fillId="0" borderId="38" xfId="2" applyFont="1" applyBorder="1" applyAlignment="1">
      <alignment horizontal="left" vertical="center" wrapText="1"/>
    </xf>
    <xf numFmtId="2" fontId="27" fillId="0" borderId="0" xfId="2" applyNumberFormat="1" applyFont="1" applyAlignment="1">
      <alignment horizontal="center" vertical="top" wrapText="1"/>
    </xf>
    <xf numFmtId="49" fontId="30" fillId="0" borderId="0" xfId="2" applyNumberFormat="1" applyFont="1" applyAlignment="1">
      <alignment horizontal="left"/>
    </xf>
  </cellXfs>
  <cellStyles count="11">
    <cellStyle name="Comma 2" xfId="1" xr:uid="{00000000-0005-0000-0000-000000000000}"/>
    <cellStyle name="Normal" xfId="0" builtinId="0"/>
    <cellStyle name="Normal 2" xfId="2" xr:uid="{00000000-0005-0000-0000-000002000000}"/>
    <cellStyle name="Normal 3" xfId="5" xr:uid="{54E377B7-E5E5-4FDB-B058-64326244E618}"/>
    <cellStyle name="Normal 4" xfId="6" xr:uid="{E7922036-A63C-40AA-8195-C40E8B442ABB}"/>
    <cellStyle name="Normal 5" xfId="7" xr:uid="{130DB5F0-3BE7-4296-95BD-AEB10D574F4C}"/>
    <cellStyle name="Normal 6" xfId="8" xr:uid="{35191FB1-920C-4D80-9736-0338E0FC0BC5}"/>
    <cellStyle name="Normal 7" xfId="9" xr:uid="{942A8796-7E33-4C6E-955C-C488A504DE15}"/>
    <cellStyle name="Normal 8" xfId="10" xr:uid="{2E698429-2D3A-4FE6-B248-D3054AEAD181}"/>
    <cellStyle name="Percent" xfId="3" builtinId="5"/>
    <cellStyle name="Percent 2" xfId="4" xr:uid="{00000000-0005-0000-0000-000004000000}"/>
  </cellStyles>
  <dxfs count="3">
    <dxf>
      <font>
        <b/>
        <i val="0"/>
        <color auto="1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ill>
        <patternFill>
          <bgColor theme="8" tint="-0.499984740745262"/>
        </patternFill>
      </fill>
    </dxf>
  </dxfs>
  <tableStyles count="0" defaultTableStyle="TableStyleMedium9" defaultPivotStyle="PivotStyleLight16"/>
  <colors>
    <mruColors>
      <color rgb="FF0000FF"/>
      <color rgb="FF787878"/>
      <color rgb="FF646464"/>
      <color rgb="FF0066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228598</xdr:colOff>
      <xdr:row>4</xdr:row>
      <xdr:rowOff>96371</xdr:rowOff>
    </xdr:from>
    <xdr:to>
      <xdr:col>17</xdr:col>
      <xdr:colOff>396686</xdr:colOff>
      <xdr:row>4</xdr:row>
      <xdr:rowOff>208430</xdr:rowOff>
    </xdr:to>
    <xdr:sp macro="" textlink="">
      <xdr:nvSpPr>
        <xdr:cNvPr id="4" name="Left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3899214" y="1801346"/>
          <a:ext cx="168088" cy="11205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98547</xdr:colOff>
      <xdr:row>188</xdr:row>
      <xdr:rowOff>105833</xdr:rowOff>
    </xdr:from>
    <xdr:to>
      <xdr:col>7</xdr:col>
      <xdr:colOff>285748</xdr:colOff>
      <xdr:row>188</xdr:row>
      <xdr:rowOff>275167</xdr:rowOff>
    </xdr:to>
    <xdr:sp macro="" textlink="">
      <xdr:nvSpPr>
        <xdr:cNvPr id="5" name="Left Arrow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237130" y="17780000"/>
          <a:ext cx="568201" cy="16933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</xdr:col>
      <xdr:colOff>361949</xdr:colOff>
      <xdr:row>1</xdr:row>
      <xdr:rowOff>9525</xdr:rowOff>
    </xdr:from>
    <xdr:to>
      <xdr:col>23</xdr:col>
      <xdr:colOff>556972</xdr:colOff>
      <xdr:row>1</xdr:row>
      <xdr:rowOff>247650</xdr:rowOff>
    </xdr:to>
    <xdr:sp macro="" textlink="">
      <xdr:nvSpPr>
        <xdr:cNvPr id="7" name="Rectangl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476249" y="381000"/>
          <a:ext cx="18097501" cy="238125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LABOR ROUTING TEMPLATE - MELBOURNE</a:t>
          </a:r>
        </a:p>
      </xdr:txBody>
    </xdr:sp>
    <xdr:clientData/>
  </xdr:twoCellAnchor>
  <xdr:twoCellAnchor>
    <xdr:from>
      <xdr:col>6</xdr:col>
      <xdr:colOff>95249</xdr:colOff>
      <xdr:row>189</xdr:row>
      <xdr:rowOff>74078</xdr:rowOff>
    </xdr:from>
    <xdr:to>
      <xdr:col>7</xdr:col>
      <xdr:colOff>282450</xdr:colOff>
      <xdr:row>189</xdr:row>
      <xdr:rowOff>243412</xdr:rowOff>
    </xdr:to>
    <xdr:sp macro="" textlink="">
      <xdr:nvSpPr>
        <xdr:cNvPr id="8" name="Left Arrow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8233832" y="18108078"/>
          <a:ext cx="568201" cy="16933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3</xdr:colOff>
      <xdr:row>12</xdr:row>
      <xdr:rowOff>254000</xdr:rowOff>
    </xdr:from>
    <xdr:to>
      <xdr:col>1</xdr:col>
      <xdr:colOff>709084</xdr:colOff>
      <xdr:row>15</xdr:row>
      <xdr:rowOff>232833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" y="2624667"/>
          <a:ext cx="846664" cy="370416"/>
        </a:xfrm>
        <a:prstGeom prst="rect">
          <a:avLst/>
        </a:prstGeom>
        <a:ln w="19050"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wrap="square" lIns="18000" tIns="0" rIns="18000" bIns="0" rtlCol="0" anchor="ctr" anchorCtr="0"/>
        <a:lstStyle/>
        <a:p>
          <a:r>
            <a:rPr lang="en-AU" sz="900" b="1" u="sng">
              <a:solidFill>
                <a:schemeClr val="accent4">
                  <a:lumMod val="75000"/>
                </a:schemeClr>
              </a:solidFill>
            </a:rPr>
            <a:t>Select All</a:t>
          </a:r>
          <a:r>
            <a:rPr lang="en-AU" sz="900" b="1">
              <a:solidFill>
                <a:schemeClr val="accent4">
                  <a:lumMod val="75000"/>
                </a:schemeClr>
              </a:solidFill>
            </a:rPr>
            <a:t> to Unhide All Rows.</a:t>
          </a:r>
        </a:p>
      </xdr:txBody>
    </xdr:sp>
    <xdr:clientData/>
  </xdr:twoCellAnchor>
  <xdr:twoCellAnchor>
    <xdr:from>
      <xdr:col>0</xdr:col>
      <xdr:colOff>63500</xdr:colOff>
      <xdr:row>15</xdr:row>
      <xdr:rowOff>232833</xdr:rowOff>
    </xdr:from>
    <xdr:to>
      <xdr:col>0</xdr:col>
      <xdr:colOff>63500</xdr:colOff>
      <xdr:row>17</xdr:row>
      <xdr:rowOff>21167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 bwMode="auto">
        <a:xfrm>
          <a:off x="63500" y="2995083"/>
          <a:ext cx="0" cy="402167"/>
        </a:xfrm>
        <a:prstGeom prst="straightConnector1">
          <a:avLst/>
        </a:prstGeom>
        <a:solidFill>
          <a:srgbClr val="FFFFFF"/>
        </a:solidFill>
        <a:ln w="28575" cap="flat" cmpd="sng" algn="ctr">
          <a:solidFill>
            <a:schemeClr val="accent1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8</xdr:col>
      <xdr:colOff>21166</xdr:colOff>
      <xdr:row>14</xdr:row>
      <xdr:rowOff>22211</xdr:rowOff>
    </xdr:from>
    <xdr:to>
      <xdr:col>8</xdr:col>
      <xdr:colOff>1047166</xdr:colOff>
      <xdr:row>14</xdr:row>
      <xdr:rowOff>328211</xdr:rowOff>
    </xdr:to>
    <xdr:sp macro="[0]!Rectangle9_Click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 bwMode="auto">
        <a:xfrm>
          <a:off x="9292166" y="2911461"/>
          <a:ext cx="1026000" cy="30600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AU" sz="1100"/>
            <a:t>Refresh</a:t>
          </a:r>
        </a:p>
      </xdr:txBody>
    </xdr:sp>
    <xdr:clientData/>
  </xdr:twoCellAnchor>
  <xdr:twoCellAnchor>
    <xdr:from>
      <xdr:col>8</xdr:col>
      <xdr:colOff>448736</xdr:colOff>
      <xdr:row>15</xdr:row>
      <xdr:rowOff>42335</xdr:rowOff>
    </xdr:from>
    <xdr:to>
      <xdr:col>8</xdr:col>
      <xdr:colOff>635003</xdr:colOff>
      <xdr:row>15</xdr:row>
      <xdr:rowOff>296335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 bwMode="auto">
        <a:xfrm rot="16200000">
          <a:off x="9685870" y="3304118"/>
          <a:ext cx="254000" cy="186267"/>
        </a:xfrm>
        <a:prstGeom prst="rightArrow">
          <a:avLst/>
        </a:prstGeom>
        <a:ln>
          <a:headEnd type="none" w="med" len="med"/>
          <a:tailEnd type="none" w="med" len="med"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AU" sz="1100"/>
        </a:p>
      </xdr:txBody>
    </xdr:sp>
    <xdr:clientData/>
  </xdr:twoCellAnchor>
  <xdr:twoCellAnchor>
    <xdr:from>
      <xdr:col>7</xdr:col>
      <xdr:colOff>296328</xdr:colOff>
      <xdr:row>14</xdr:row>
      <xdr:rowOff>10578</xdr:rowOff>
    </xdr:from>
    <xdr:to>
      <xdr:col>7</xdr:col>
      <xdr:colOff>634995</xdr:colOff>
      <xdr:row>14</xdr:row>
      <xdr:rowOff>253999</xdr:rowOff>
    </xdr:to>
    <xdr:sp macro="" textlink="">
      <xdr:nvSpPr>
        <xdr:cNvPr id="14" name="Bent-Up Arrow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 bwMode="auto">
        <a:xfrm flipH="1">
          <a:off x="8815911" y="2899828"/>
          <a:ext cx="338667" cy="243421"/>
        </a:xfrm>
        <a:prstGeom prst="bentUpArrow">
          <a:avLst>
            <a:gd name="adj1" fmla="val 39815"/>
            <a:gd name="adj2" fmla="val 25000"/>
            <a:gd name="adj3" fmla="val 25000"/>
          </a:avLst>
        </a:prstGeom>
        <a:ln>
          <a:headEnd type="none" w="med" len="med"/>
          <a:tailEnd type="none" w="med" len="med"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en-A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212912</xdr:colOff>
      <xdr:row>11</xdr:row>
      <xdr:rowOff>5604</xdr:rowOff>
    </xdr:from>
    <xdr:to>
      <xdr:col>9</xdr:col>
      <xdr:colOff>930089</xdr:colOff>
      <xdr:row>12</xdr:row>
      <xdr:rowOff>67236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4575362" y="2320179"/>
          <a:ext cx="17176377" cy="309282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LABOR ROUTING TEMPLATE - MELBOURNE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AA455"/>
  <sheetViews>
    <sheetView showGridLines="0" tabSelected="1" zoomScale="90" zoomScaleNormal="90" zoomScalePageLayoutView="85" workbookViewId="0">
      <pane ySplit="19" topLeftCell="A20" activePane="bottomLeft" state="frozenSplit"/>
      <selection pane="bottomLeft" activeCell="C5" sqref="C5"/>
    </sheetView>
  </sheetViews>
  <sheetFormatPr defaultColWidth="9.1796875" defaultRowHeight="12.5" x14ac:dyDescent="0.25"/>
  <cols>
    <col min="1" max="1" width="2" style="241" customWidth="1"/>
    <col min="2" max="2" width="35" style="96" customWidth="1"/>
    <col min="3" max="3" width="31.453125" style="7" customWidth="1"/>
    <col min="4" max="5" width="10.81640625" style="7" customWidth="1"/>
    <col min="6" max="6" width="31.81640625" style="7" customWidth="1"/>
    <col min="7" max="7" width="5.7265625" style="3" customWidth="1"/>
    <col min="8" max="8" width="11.26953125" style="3" customWidth="1"/>
    <col min="9" max="9" width="15.81640625" style="3" customWidth="1"/>
    <col min="10" max="10" width="5.7265625" style="3" customWidth="1"/>
    <col min="11" max="11" width="24" style="3" bestFit="1" customWidth="1"/>
    <col min="12" max="12" width="28.7265625" style="3" customWidth="1"/>
    <col min="13" max="13" width="4.7265625" style="3" customWidth="1"/>
    <col min="14" max="16" width="9.7265625" style="3" customWidth="1"/>
    <col min="17" max="17" width="7.7265625" style="3" customWidth="1"/>
    <col min="18" max="18" width="13.1796875" style="3" bestFit="1" customWidth="1"/>
    <col min="19" max="19" width="7" style="3" customWidth="1"/>
    <col min="20" max="22" width="9.1796875" style="3"/>
    <col min="23" max="23" width="1.54296875" style="3" customWidth="1"/>
    <col min="24" max="16384" width="9.1796875" style="3"/>
  </cols>
  <sheetData>
    <row r="1" spans="1:23" ht="17.25" customHeight="1" x14ac:dyDescent="0.25">
      <c r="A1" s="256" t="s">
        <v>450</v>
      </c>
      <c r="B1" s="255"/>
      <c r="C1" s="3"/>
      <c r="D1" s="3"/>
      <c r="E1" s="3"/>
      <c r="F1" s="3"/>
      <c r="M1" s="129"/>
      <c r="N1" s="129"/>
      <c r="O1" s="129"/>
      <c r="P1" s="129"/>
    </row>
    <row r="2" spans="1:23" ht="29.25" customHeight="1" x14ac:dyDescent="0.25">
      <c r="B2" s="3"/>
      <c r="C2" s="3"/>
      <c r="D2" s="3"/>
      <c r="E2" s="3"/>
      <c r="F2" s="3"/>
      <c r="M2" s="129"/>
      <c r="N2" s="129"/>
      <c r="O2" s="129"/>
      <c r="P2" s="129"/>
    </row>
    <row r="3" spans="1:23" ht="22.5" customHeight="1" x14ac:dyDescent="0.25">
      <c r="B3" s="3"/>
      <c r="C3" s="3"/>
      <c r="D3" s="3"/>
      <c r="E3" s="3"/>
      <c r="F3" s="3"/>
      <c r="G3" s="129"/>
      <c r="H3" s="270" t="s">
        <v>458</v>
      </c>
      <c r="I3" s="270" t="s">
        <v>459</v>
      </c>
      <c r="J3" s="129"/>
      <c r="L3" s="129"/>
      <c r="M3" s="129"/>
      <c r="N3" s="129"/>
      <c r="O3" s="129"/>
      <c r="P3" s="129"/>
    </row>
    <row r="4" spans="1:23" ht="3.75" customHeight="1" thickBot="1" x14ac:dyDescent="0.3">
      <c r="B4" s="3"/>
      <c r="C4" s="3"/>
      <c r="D4" s="3"/>
      <c r="E4" s="3"/>
      <c r="F4" s="3"/>
      <c r="G4" s="129"/>
      <c r="H4" s="129"/>
      <c r="I4" s="129"/>
      <c r="J4" s="129"/>
      <c r="L4" s="129"/>
      <c r="M4" s="129"/>
      <c r="N4" s="129"/>
      <c r="O4" s="129"/>
      <c r="P4" s="129"/>
    </row>
    <row r="5" spans="1:23" ht="26.25" customHeight="1" thickBot="1" x14ac:dyDescent="0.3">
      <c r="B5" s="213" t="s">
        <v>363</v>
      </c>
      <c r="C5" s="235" t="s">
        <v>464</v>
      </c>
      <c r="D5" s="306" t="s">
        <v>368</v>
      </c>
      <c r="E5" s="307"/>
      <c r="F5" s="203" t="s">
        <v>264</v>
      </c>
      <c r="G5" s="2"/>
      <c r="H5" s="269">
        <v>50</v>
      </c>
      <c r="I5" s="276">
        <v>0</v>
      </c>
      <c r="J5" s="273"/>
      <c r="K5" s="2" t="s">
        <v>8</v>
      </c>
      <c r="L5" s="308" t="s">
        <v>455</v>
      </c>
      <c r="M5" s="309"/>
      <c r="N5" s="309"/>
      <c r="O5" s="309"/>
      <c r="P5" s="309"/>
      <c r="Q5" s="310"/>
      <c r="S5" s="311" t="s">
        <v>7</v>
      </c>
      <c r="T5" s="312"/>
      <c r="U5" s="312"/>
      <c r="V5" s="312"/>
      <c r="W5" s="313"/>
    </row>
    <row r="6" spans="1:23" ht="3.75" customHeight="1" thickBot="1" x14ac:dyDescent="0.3">
      <c r="B6" s="213"/>
      <c r="C6" s="236"/>
      <c r="D6" s="214"/>
      <c r="E6" s="215"/>
      <c r="F6" s="122"/>
      <c r="G6" s="2"/>
      <c r="H6" s="2"/>
      <c r="I6" s="273"/>
      <c r="J6" s="273"/>
      <c r="L6" s="143"/>
      <c r="M6" s="143"/>
      <c r="N6" s="143"/>
      <c r="O6" s="143"/>
      <c r="P6" s="143"/>
      <c r="Q6" s="143"/>
      <c r="S6" s="6"/>
      <c r="T6" s="6"/>
      <c r="U6" s="6"/>
      <c r="V6" s="6"/>
      <c r="W6" s="6"/>
    </row>
    <row r="7" spans="1:23" ht="27" customHeight="1" thickBot="1" x14ac:dyDescent="0.3">
      <c r="B7" s="213" t="s">
        <v>364</v>
      </c>
      <c r="C7" s="235" t="s">
        <v>519</v>
      </c>
      <c r="D7" s="214"/>
      <c r="E7" s="213" t="s">
        <v>451</v>
      </c>
      <c r="F7" s="204"/>
      <c r="H7" s="203">
        <v>100</v>
      </c>
      <c r="I7" s="276">
        <v>0</v>
      </c>
      <c r="J7" s="273"/>
      <c r="K7" s="326" t="s">
        <v>9</v>
      </c>
      <c r="L7" s="317" t="s">
        <v>613</v>
      </c>
      <c r="M7" s="318"/>
      <c r="N7" s="318"/>
      <c r="O7" s="318"/>
      <c r="P7" s="318"/>
      <c r="Q7" s="319"/>
    </row>
    <row r="8" spans="1:23" ht="3.75" customHeight="1" thickBot="1" x14ac:dyDescent="0.3">
      <c r="B8" s="213"/>
      <c r="C8" s="236"/>
      <c r="D8" s="5"/>
      <c r="E8" s="5"/>
      <c r="F8" s="4"/>
      <c r="G8" s="2"/>
      <c r="H8" s="2"/>
      <c r="I8" s="273"/>
      <c r="J8" s="273"/>
      <c r="K8" s="326"/>
      <c r="L8" s="320"/>
      <c r="M8" s="321"/>
      <c r="N8" s="321"/>
      <c r="O8" s="321"/>
      <c r="P8" s="321"/>
      <c r="Q8" s="322"/>
      <c r="S8" s="6"/>
      <c r="T8" s="6"/>
      <c r="U8" s="6"/>
      <c r="V8" s="6"/>
      <c r="W8" s="6"/>
    </row>
    <row r="9" spans="1:23" ht="27" customHeight="1" thickBot="1" x14ac:dyDescent="0.3">
      <c r="B9" s="213" t="s">
        <v>365</v>
      </c>
      <c r="C9" s="235" t="s">
        <v>518</v>
      </c>
      <c r="D9" s="5"/>
      <c r="E9" s="213" t="s">
        <v>369</v>
      </c>
      <c r="F9" s="204">
        <v>45933</v>
      </c>
      <c r="G9" s="314"/>
      <c r="H9" s="203">
        <v>250</v>
      </c>
      <c r="I9" s="274">
        <v>0</v>
      </c>
      <c r="J9" s="273"/>
      <c r="K9" s="326"/>
      <c r="L9" s="320"/>
      <c r="M9" s="321"/>
      <c r="N9" s="321"/>
      <c r="O9" s="321"/>
      <c r="P9" s="321"/>
      <c r="Q9" s="322"/>
    </row>
    <row r="10" spans="1:23" ht="3.75" customHeight="1" thickBot="1" x14ac:dyDescent="0.3">
      <c r="B10" s="213"/>
      <c r="C10" s="236"/>
      <c r="D10" s="5"/>
      <c r="E10" s="5"/>
      <c r="G10" s="314"/>
      <c r="H10" s="239"/>
      <c r="I10" s="12"/>
      <c r="J10" s="12"/>
      <c r="K10" s="326"/>
      <c r="L10" s="320"/>
      <c r="M10" s="321"/>
      <c r="N10" s="321"/>
      <c r="O10" s="321"/>
      <c r="P10" s="321"/>
      <c r="Q10" s="322"/>
    </row>
    <row r="11" spans="1:23" ht="26.5" thickBot="1" x14ac:dyDescent="0.3">
      <c r="B11" s="213" t="s">
        <v>366</v>
      </c>
      <c r="C11" s="235"/>
      <c r="E11" s="122"/>
      <c r="F11" s="8" t="s">
        <v>10</v>
      </c>
      <c r="G11" s="314"/>
      <c r="H11" s="203">
        <v>500</v>
      </c>
      <c r="I11" s="274">
        <v>0</v>
      </c>
      <c r="J11" s="273"/>
      <c r="K11" s="326"/>
      <c r="L11" s="320"/>
      <c r="M11" s="321"/>
      <c r="N11" s="321"/>
      <c r="O11" s="321"/>
      <c r="P11" s="321"/>
      <c r="Q11" s="322"/>
    </row>
    <row r="12" spans="1:23" ht="3.75" customHeight="1" thickBot="1" x14ac:dyDescent="0.3">
      <c r="B12" s="213"/>
      <c r="C12" s="237"/>
      <c r="E12" s="122"/>
      <c r="F12" s="9"/>
      <c r="I12" s="275"/>
      <c r="J12" s="275"/>
      <c r="K12" s="326"/>
      <c r="L12" s="320"/>
      <c r="M12" s="321"/>
      <c r="N12" s="321"/>
      <c r="O12" s="321"/>
      <c r="P12" s="321"/>
      <c r="Q12" s="322"/>
    </row>
    <row r="13" spans="1:23" ht="27" customHeight="1" thickBot="1" x14ac:dyDescent="0.3">
      <c r="B13" s="213" t="s">
        <v>367</v>
      </c>
      <c r="C13" s="238"/>
      <c r="E13" s="190"/>
      <c r="F13" s="117" t="s">
        <v>250</v>
      </c>
      <c r="G13" s="99"/>
      <c r="H13" s="203">
        <v>1000</v>
      </c>
      <c r="I13" s="274">
        <v>0</v>
      </c>
      <c r="J13" s="273"/>
      <c r="K13" s="326"/>
      <c r="L13" s="320"/>
      <c r="M13" s="321"/>
      <c r="N13" s="321"/>
      <c r="O13" s="321"/>
      <c r="P13" s="321"/>
      <c r="Q13" s="322"/>
    </row>
    <row r="14" spans="1:23" ht="4.5" customHeight="1" thickBot="1" x14ac:dyDescent="0.3">
      <c r="B14" s="2"/>
      <c r="C14" s="114"/>
      <c r="F14" s="9"/>
      <c r="G14" s="99"/>
      <c r="H14" s="99"/>
      <c r="I14" s="99"/>
      <c r="J14" s="9"/>
      <c r="K14" s="326"/>
      <c r="L14" s="320"/>
      <c r="M14" s="321"/>
      <c r="N14" s="321"/>
      <c r="O14" s="321"/>
      <c r="P14" s="321"/>
      <c r="Q14" s="322"/>
    </row>
    <row r="15" spans="1:23" ht="27" customHeight="1" thickBot="1" x14ac:dyDescent="0.3">
      <c r="B15" s="2"/>
      <c r="C15" s="268"/>
      <c r="F15" s="9"/>
      <c r="G15" s="99"/>
      <c r="H15" s="99"/>
      <c r="I15" s="271"/>
      <c r="J15" s="99"/>
      <c r="K15" s="326"/>
      <c r="L15" s="320"/>
      <c r="M15" s="321"/>
      <c r="N15" s="321"/>
      <c r="O15" s="321"/>
      <c r="P15" s="321"/>
      <c r="Q15" s="322"/>
    </row>
    <row r="16" spans="1:23" ht="24" customHeight="1" thickBot="1" x14ac:dyDescent="0.3">
      <c r="B16" s="124"/>
      <c r="C16" s="115"/>
      <c r="D16" s="197" t="s">
        <v>241</v>
      </c>
      <c r="E16" s="197" t="s">
        <v>240</v>
      </c>
      <c r="F16" s="197" t="s">
        <v>247</v>
      </c>
      <c r="G16" s="123" t="s">
        <v>362</v>
      </c>
      <c r="H16" s="9"/>
      <c r="I16" s="9"/>
      <c r="J16" s="9"/>
      <c r="K16" s="326"/>
      <c r="L16" s="320"/>
      <c r="M16" s="321"/>
      <c r="N16" s="321"/>
      <c r="O16" s="321"/>
      <c r="P16" s="321"/>
      <c r="Q16" s="322"/>
    </row>
    <row r="17" spans="1:26" ht="24" customHeight="1" thickBot="1" x14ac:dyDescent="0.3">
      <c r="B17" s="198" t="s">
        <v>251</v>
      </c>
      <c r="C17" s="202"/>
      <c r="D17" s="199">
        <f>D19*(1+E436)</f>
        <v>4.3754415733333323</v>
      </c>
      <c r="E17" s="199">
        <f>E19*(1+E436)</f>
        <v>22.163845599999995</v>
      </c>
      <c r="F17" s="199">
        <f>SUM(D17:E17)</f>
        <v>26.539287173333328</v>
      </c>
      <c r="G17" s="188">
        <f>F17/60</f>
        <v>0.4423214528888888</v>
      </c>
      <c r="H17" s="12"/>
      <c r="I17" s="327" t="s">
        <v>460</v>
      </c>
      <c r="J17" s="12"/>
      <c r="K17" s="326"/>
      <c r="L17" s="323"/>
      <c r="M17" s="324"/>
      <c r="N17" s="324"/>
      <c r="O17" s="324"/>
      <c r="P17" s="324"/>
      <c r="Q17" s="325"/>
    </row>
    <row r="18" spans="1:26" ht="3" customHeight="1" thickBot="1" x14ac:dyDescent="0.3">
      <c r="B18" s="3"/>
      <c r="C18" s="3"/>
      <c r="D18" s="3"/>
      <c r="E18" s="3"/>
      <c r="F18" s="3"/>
      <c r="G18" s="189"/>
      <c r="H18" s="189"/>
      <c r="I18" s="327"/>
      <c r="J18" s="189"/>
    </row>
    <row r="19" spans="1:26" ht="29.25" customHeight="1" thickBot="1" x14ac:dyDescent="0.35">
      <c r="A19" s="251" t="s">
        <v>360</v>
      </c>
      <c r="B19" s="200" t="s">
        <v>252</v>
      </c>
      <c r="C19" s="201"/>
      <c r="D19" s="197">
        <f>SUM(D21:D388)</f>
        <v>3.7080013333333328</v>
      </c>
      <c r="E19" s="197">
        <f>SUM(E21:E388)</f>
        <v>18.782919999999997</v>
      </c>
      <c r="F19" s="197">
        <f>SUM(D19:E19)</f>
        <v>22.490921333333329</v>
      </c>
      <c r="G19" s="188">
        <f>F19/60</f>
        <v>0.37484868888888884</v>
      </c>
      <c r="H19" s="272" t="s">
        <v>381</v>
      </c>
      <c r="I19" s="327"/>
      <c r="J19" s="246"/>
      <c r="K19" s="244"/>
      <c r="L19" s="277" t="s">
        <v>11</v>
      </c>
      <c r="M19" s="278" t="s">
        <v>16</v>
      </c>
      <c r="N19" s="278" t="s">
        <v>410</v>
      </c>
      <c r="O19" s="278" t="s">
        <v>449</v>
      </c>
      <c r="P19" s="278" t="s">
        <v>12</v>
      </c>
      <c r="Q19" s="279" t="s">
        <v>13</v>
      </c>
      <c r="R19" s="280" t="s">
        <v>14</v>
      </c>
      <c r="S19" s="315" t="s">
        <v>15</v>
      </c>
      <c r="T19" s="316"/>
      <c r="U19" s="281" t="s">
        <v>16</v>
      </c>
      <c r="V19" s="282" t="s">
        <v>13</v>
      </c>
    </row>
    <row r="20" spans="1:26" ht="16" thickBot="1" x14ac:dyDescent="0.3">
      <c r="B20" s="11"/>
      <c r="C20" s="9"/>
      <c r="D20" s="12"/>
      <c r="E20" s="12"/>
      <c r="F20" s="9"/>
      <c r="G20" s="13"/>
      <c r="H20" s="13"/>
      <c r="I20" s="13"/>
      <c r="J20" s="13"/>
      <c r="L20" s="14" t="s">
        <v>17</v>
      </c>
      <c r="M20" s="253">
        <v>1</v>
      </c>
      <c r="N20" s="253">
        <v>500</v>
      </c>
      <c r="O20" s="253" t="s">
        <v>465</v>
      </c>
      <c r="P20" s="16">
        <f>M20*N20</f>
        <v>500</v>
      </c>
      <c r="Q20" s="17" t="s">
        <v>18</v>
      </c>
      <c r="R20" s="18" t="s">
        <v>19</v>
      </c>
      <c r="S20" s="297"/>
      <c r="T20" s="298"/>
      <c r="U20" s="15">
        <v>0</v>
      </c>
      <c r="V20" s="17" t="s">
        <v>20</v>
      </c>
      <c r="W20" s="19"/>
    </row>
    <row r="21" spans="1:26" ht="15.5" x14ac:dyDescent="0.25">
      <c r="B21" s="205" t="s">
        <v>278</v>
      </c>
      <c r="C21" s="206"/>
      <c r="D21" s="206"/>
      <c r="E21" s="206"/>
      <c r="F21" s="207"/>
      <c r="G21" s="20" t="s">
        <v>22</v>
      </c>
      <c r="H21" s="248"/>
      <c r="I21" s="248"/>
      <c r="J21" s="248"/>
      <c r="K21" s="242"/>
      <c r="L21" s="14" t="s">
        <v>23</v>
      </c>
      <c r="M21" s="253">
        <v>1</v>
      </c>
      <c r="N21" s="253">
        <v>500</v>
      </c>
      <c r="O21" s="253" t="s">
        <v>465</v>
      </c>
      <c r="P21" s="16">
        <f t="shared" ref="P21:P25" si="0">M21*N21</f>
        <v>500</v>
      </c>
      <c r="Q21" s="17" t="s">
        <v>18</v>
      </c>
      <c r="R21" s="18" t="s">
        <v>24</v>
      </c>
      <c r="S21" s="297"/>
      <c r="T21" s="298"/>
      <c r="U21" s="15">
        <v>0</v>
      </c>
      <c r="V21" s="17" t="s">
        <v>18</v>
      </c>
      <c r="W21" s="19"/>
    </row>
    <row r="22" spans="1:26" ht="13" x14ac:dyDescent="0.25">
      <c r="B22" s="21" t="s">
        <v>25</v>
      </c>
      <c r="C22" s="138" t="s">
        <v>25</v>
      </c>
      <c r="D22" s="23"/>
      <c r="E22" s="23"/>
      <c r="F22" s="216">
        <v>100</v>
      </c>
      <c r="G22" s="228"/>
      <c r="H22" s="249"/>
      <c r="I22" s="249"/>
      <c r="J22" s="249"/>
      <c r="K22" s="242"/>
      <c r="L22" s="14" t="s">
        <v>614</v>
      </c>
      <c r="M22" s="253">
        <v>20</v>
      </c>
      <c r="N22" s="253">
        <v>180</v>
      </c>
      <c r="O22" s="253" t="s">
        <v>615</v>
      </c>
      <c r="P22" s="16">
        <f t="shared" si="0"/>
        <v>3600</v>
      </c>
      <c r="Q22" s="17" t="s">
        <v>18</v>
      </c>
      <c r="R22" s="18" t="s">
        <v>26</v>
      </c>
      <c r="S22" s="297"/>
      <c r="T22" s="298"/>
      <c r="U22" s="15">
        <v>0</v>
      </c>
      <c r="V22" s="17" t="s">
        <v>18</v>
      </c>
      <c r="W22" s="19"/>
    </row>
    <row r="23" spans="1:26" ht="13" x14ac:dyDescent="0.25">
      <c r="B23" s="136" t="s">
        <v>284</v>
      </c>
      <c r="C23" s="139"/>
      <c r="D23" s="135"/>
      <c r="E23" s="135"/>
      <c r="F23" s="140" t="s">
        <v>282</v>
      </c>
      <c r="G23" s="228"/>
      <c r="H23" s="248" t="s">
        <v>380</v>
      </c>
      <c r="I23" s="248"/>
      <c r="J23" s="248"/>
      <c r="L23" s="14" t="s">
        <v>448</v>
      </c>
      <c r="M23" s="253">
        <v>0</v>
      </c>
      <c r="N23" s="253"/>
      <c r="O23" s="253"/>
      <c r="P23" s="16">
        <f t="shared" si="0"/>
        <v>0</v>
      </c>
      <c r="Q23" s="17" t="s">
        <v>18</v>
      </c>
      <c r="R23" s="18" t="s">
        <v>29</v>
      </c>
      <c r="S23" s="297"/>
      <c r="T23" s="298"/>
      <c r="U23" s="15">
        <v>0</v>
      </c>
      <c r="V23" s="17" t="s">
        <v>18</v>
      </c>
      <c r="W23" s="19"/>
    </row>
    <row r="24" spans="1:26" ht="13" x14ac:dyDescent="0.25">
      <c r="B24" s="136" t="s">
        <v>285</v>
      </c>
      <c r="C24" s="139" t="s">
        <v>288</v>
      </c>
      <c r="D24" s="135"/>
      <c r="E24" s="135"/>
      <c r="F24" s="140" t="s">
        <v>6</v>
      </c>
      <c r="G24" s="228"/>
      <c r="H24" s="248" t="s">
        <v>382</v>
      </c>
      <c r="I24" s="248"/>
      <c r="J24" s="248"/>
      <c r="L24" s="14" t="s">
        <v>32</v>
      </c>
      <c r="M24" s="253">
        <v>0</v>
      </c>
      <c r="N24" s="253"/>
      <c r="O24" s="253"/>
      <c r="P24" s="16">
        <f t="shared" si="0"/>
        <v>0</v>
      </c>
      <c r="Q24" s="17" t="s">
        <v>18</v>
      </c>
      <c r="R24" s="25"/>
      <c r="S24" s="297"/>
      <c r="T24" s="298"/>
      <c r="U24" s="15"/>
      <c r="V24" s="17"/>
      <c r="W24" s="19"/>
    </row>
    <row r="25" spans="1:26" ht="13" x14ac:dyDescent="0.25">
      <c r="B25" s="136" t="s">
        <v>279</v>
      </c>
      <c r="C25" s="139" t="s">
        <v>286</v>
      </c>
      <c r="D25" s="135"/>
      <c r="E25" s="135"/>
      <c r="F25" s="140" t="s">
        <v>6</v>
      </c>
      <c r="G25" s="228"/>
      <c r="H25" s="248" t="s">
        <v>383</v>
      </c>
      <c r="I25" s="248"/>
      <c r="J25" s="248"/>
      <c r="L25" s="14" t="s">
        <v>38</v>
      </c>
      <c r="M25" s="253">
        <v>1</v>
      </c>
      <c r="N25" s="253">
        <v>500</v>
      </c>
      <c r="O25" s="253" t="s">
        <v>465</v>
      </c>
      <c r="P25" s="16">
        <f t="shared" si="0"/>
        <v>500</v>
      </c>
      <c r="Q25" s="17" t="s">
        <v>39</v>
      </c>
      <c r="R25" s="25"/>
      <c r="S25" s="297"/>
      <c r="T25" s="298"/>
      <c r="U25" s="15"/>
      <c r="V25" s="17"/>
      <c r="W25" s="19"/>
    </row>
    <row r="26" spans="1:26" ht="13" hidden="1" x14ac:dyDescent="0.25">
      <c r="A26" s="241" t="s">
        <v>376</v>
      </c>
      <c r="B26" s="127" t="s">
        <v>351</v>
      </c>
      <c r="C26" s="26" t="s">
        <v>298</v>
      </c>
      <c r="D26" s="23"/>
      <c r="E26" s="23"/>
      <c r="F26" s="187">
        <v>0.16666</v>
      </c>
      <c r="G26" s="228"/>
      <c r="H26" s="248"/>
      <c r="I26" s="248"/>
      <c r="J26" s="248"/>
      <c r="L26" s="14"/>
      <c r="M26" s="15"/>
      <c r="N26" s="15"/>
      <c r="O26" s="15"/>
      <c r="P26" s="16"/>
      <c r="Q26" s="17"/>
      <c r="R26" s="18"/>
      <c r="S26" s="185"/>
      <c r="T26" s="186"/>
      <c r="U26" s="15"/>
      <c r="V26" s="17"/>
      <c r="W26" s="19"/>
    </row>
    <row r="27" spans="1:26" ht="13" x14ac:dyDescent="0.25">
      <c r="B27" s="136" t="s">
        <v>280</v>
      </c>
      <c r="C27" s="139" t="s">
        <v>287</v>
      </c>
      <c r="D27" s="135"/>
      <c r="E27" s="135"/>
      <c r="F27" s="140" t="s">
        <v>6</v>
      </c>
      <c r="G27" s="228"/>
      <c r="H27" s="248" t="s">
        <v>384</v>
      </c>
      <c r="I27" s="248"/>
      <c r="J27" s="248"/>
      <c r="L27" s="14" t="s">
        <v>40</v>
      </c>
      <c r="M27" s="253">
        <v>0</v>
      </c>
      <c r="N27" s="253"/>
      <c r="O27" s="253"/>
      <c r="P27" s="16">
        <f t="shared" ref="P27:P28" si="1">M27*N27</f>
        <v>0</v>
      </c>
      <c r="Q27" s="17" t="s">
        <v>18</v>
      </c>
      <c r="R27" s="25"/>
      <c r="S27" s="297"/>
      <c r="T27" s="298"/>
      <c r="U27" s="15"/>
      <c r="V27" s="17"/>
      <c r="W27" s="19"/>
    </row>
    <row r="28" spans="1:26" ht="13.5" thickBot="1" x14ac:dyDescent="0.3">
      <c r="A28" s="243"/>
      <c r="B28" s="127" t="s">
        <v>75</v>
      </c>
      <c r="C28" s="22" t="s">
        <v>76</v>
      </c>
      <c r="D28" s="23"/>
      <c r="E28" s="23"/>
      <c r="F28" s="216">
        <v>4</v>
      </c>
      <c r="G28" s="228"/>
      <c r="H28" s="248"/>
      <c r="I28" s="248"/>
      <c r="J28" s="248"/>
      <c r="L28" s="14" t="s">
        <v>41</v>
      </c>
      <c r="M28" s="253">
        <v>0</v>
      </c>
      <c r="N28" s="253"/>
      <c r="O28" s="253"/>
      <c r="P28" s="16">
        <f t="shared" si="1"/>
        <v>0</v>
      </c>
      <c r="Q28" s="17" t="s">
        <v>18</v>
      </c>
      <c r="R28" s="25"/>
      <c r="S28" s="297"/>
      <c r="T28" s="298"/>
      <c r="U28" s="15"/>
      <c r="V28" s="17"/>
      <c r="W28" s="34"/>
      <c r="X28" s="34"/>
      <c r="Y28" s="34"/>
      <c r="Z28" s="34"/>
    </row>
    <row r="29" spans="1:26" ht="13.5" hidden="1" thickBot="1" x14ac:dyDescent="0.3">
      <c r="A29" s="241" t="s">
        <v>376</v>
      </c>
      <c r="B29" s="134"/>
      <c r="C29" s="139"/>
      <c r="D29" s="135"/>
      <c r="E29" s="135"/>
      <c r="F29" s="137"/>
      <c r="G29" s="228"/>
      <c r="H29" s="248"/>
      <c r="I29" s="248"/>
      <c r="J29" s="248"/>
      <c r="W29" s="19"/>
    </row>
    <row r="30" spans="1:26" ht="15.5" x14ac:dyDescent="0.25">
      <c r="B30" s="208" t="s">
        <v>21</v>
      </c>
      <c r="C30" s="206"/>
      <c r="D30" s="206"/>
      <c r="E30" s="206"/>
      <c r="F30" s="207"/>
      <c r="G30" s="229"/>
      <c r="H30" s="248"/>
      <c r="I30" s="248"/>
      <c r="J30" s="248"/>
      <c r="L30" s="14" t="s">
        <v>43</v>
      </c>
      <c r="M30" s="253">
        <v>0</v>
      </c>
      <c r="N30" s="253"/>
      <c r="O30" s="253"/>
      <c r="P30" s="16">
        <f t="shared" ref="P30:P32" si="2">M30*N30</f>
        <v>0</v>
      </c>
      <c r="Q30" s="17" t="s">
        <v>18</v>
      </c>
      <c r="R30" s="25"/>
      <c r="S30" s="297"/>
      <c r="T30" s="298"/>
      <c r="U30" s="15"/>
      <c r="V30" s="17"/>
      <c r="W30" s="19"/>
    </row>
    <row r="31" spans="1:26" ht="14.25" customHeight="1" x14ac:dyDescent="0.25">
      <c r="B31" s="21" t="s">
        <v>27</v>
      </c>
      <c r="C31" s="22" t="s">
        <v>28</v>
      </c>
      <c r="D31" s="23"/>
      <c r="E31" s="23"/>
      <c r="F31" s="24">
        <v>25</v>
      </c>
      <c r="G31" s="228"/>
      <c r="H31" s="248"/>
      <c r="I31" s="248"/>
      <c r="J31" s="248"/>
      <c r="L31" s="14" t="s">
        <v>45</v>
      </c>
      <c r="M31" s="253">
        <v>0</v>
      </c>
      <c r="N31" s="253"/>
      <c r="O31" s="253"/>
      <c r="P31" s="16">
        <f t="shared" si="2"/>
        <v>0</v>
      </c>
      <c r="Q31" s="17" t="s">
        <v>18</v>
      </c>
      <c r="R31" s="25"/>
      <c r="S31" s="297"/>
      <c r="T31" s="298"/>
      <c r="U31" s="15"/>
      <c r="V31" s="17"/>
      <c r="W31" s="19"/>
    </row>
    <row r="32" spans="1:26" ht="19.5" customHeight="1" x14ac:dyDescent="0.25">
      <c r="B32" s="21" t="s">
        <v>30</v>
      </c>
      <c r="C32" s="22" t="s">
        <v>31</v>
      </c>
      <c r="D32" s="23"/>
      <c r="E32" s="23"/>
      <c r="F32" s="24">
        <v>1</v>
      </c>
      <c r="G32" s="228"/>
      <c r="H32" s="248"/>
      <c r="I32" s="248"/>
      <c r="J32" s="248"/>
      <c r="L32" s="14" t="s">
        <v>48</v>
      </c>
      <c r="M32" s="253">
        <v>0</v>
      </c>
      <c r="N32" s="253"/>
      <c r="O32" s="253"/>
      <c r="P32" s="16">
        <f t="shared" si="2"/>
        <v>0</v>
      </c>
      <c r="Q32" s="17" t="s">
        <v>49</v>
      </c>
      <c r="R32" s="25"/>
      <c r="S32" s="297"/>
      <c r="T32" s="298"/>
      <c r="U32" s="15"/>
      <c r="V32" s="17"/>
    </row>
    <row r="33" spans="1:27" ht="13" hidden="1" x14ac:dyDescent="0.25">
      <c r="A33" s="241" t="s">
        <v>376</v>
      </c>
      <c r="B33" s="21" t="s">
        <v>33</v>
      </c>
      <c r="C33" s="26">
        <v>3</v>
      </c>
      <c r="D33" s="23"/>
      <c r="E33" s="23"/>
      <c r="F33" s="27">
        <v>3</v>
      </c>
      <c r="G33" s="228"/>
      <c r="H33" s="248"/>
      <c r="I33" s="248"/>
      <c r="J33" s="248"/>
    </row>
    <row r="34" spans="1:27" ht="13" hidden="1" x14ac:dyDescent="0.25">
      <c r="A34" s="241" t="s">
        <v>376</v>
      </c>
      <c r="B34" s="21" t="s">
        <v>34</v>
      </c>
      <c r="C34" s="26">
        <v>5</v>
      </c>
      <c r="D34" s="23"/>
      <c r="E34" s="23"/>
      <c r="F34" s="27">
        <v>5</v>
      </c>
      <c r="G34" s="228"/>
      <c r="H34" s="248"/>
      <c r="I34" s="248"/>
      <c r="J34" s="248"/>
    </row>
    <row r="35" spans="1:27" ht="25" hidden="1" x14ac:dyDescent="0.25">
      <c r="A35" s="241" t="s">
        <v>376</v>
      </c>
      <c r="B35" s="127" t="s">
        <v>414</v>
      </c>
      <c r="C35" s="26"/>
      <c r="D35" s="23"/>
      <c r="E35" s="23"/>
      <c r="F35" s="28">
        <v>3</v>
      </c>
      <c r="G35" s="228"/>
      <c r="H35" s="248"/>
      <c r="I35" s="248"/>
      <c r="J35" s="248"/>
    </row>
    <row r="36" spans="1:27" ht="25" hidden="1" x14ac:dyDescent="0.25">
      <c r="A36" s="241" t="s">
        <v>376</v>
      </c>
      <c r="B36" s="127" t="s">
        <v>355</v>
      </c>
      <c r="C36" s="26"/>
      <c r="D36" s="23"/>
      <c r="E36" s="23"/>
      <c r="F36" s="51">
        <f>IF(F27="NO",0,F35)</f>
        <v>3</v>
      </c>
      <c r="G36" s="228"/>
      <c r="H36" s="248"/>
      <c r="I36" s="248"/>
      <c r="J36" s="248"/>
    </row>
    <row r="37" spans="1:27" ht="13" x14ac:dyDescent="0.25">
      <c r="B37" s="40" t="s">
        <v>36</v>
      </c>
      <c r="C37" s="41" t="s">
        <v>37</v>
      </c>
      <c r="D37" s="42"/>
      <c r="E37" s="42">
        <f>F37/F22</f>
        <v>0.83</v>
      </c>
      <c r="F37" s="43">
        <f>(F31*F33)+(F32*F34)+F32*F36</f>
        <v>83</v>
      </c>
      <c r="G37" s="228"/>
      <c r="H37" s="248"/>
      <c r="I37" s="248"/>
      <c r="J37" s="248"/>
      <c r="L37" s="14" t="s">
        <v>378</v>
      </c>
      <c r="M37" s="253">
        <v>0</v>
      </c>
      <c r="N37" s="253"/>
      <c r="O37" s="253"/>
      <c r="P37" s="16">
        <f>M37*N37</f>
        <v>0</v>
      </c>
      <c r="Q37" s="17" t="s">
        <v>18</v>
      </c>
      <c r="R37" s="25"/>
      <c r="S37" s="297"/>
      <c r="T37" s="298"/>
      <c r="U37" s="15"/>
      <c r="V37" s="17"/>
    </row>
    <row r="38" spans="1:27" ht="13" hidden="1" x14ac:dyDescent="0.25">
      <c r="A38" s="243" t="s">
        <v>376</v>
      </c>
      <c r="B38" s="21"/>
      <c r="C38" s="33"/>
      <c r="D38" s="23"/>
      <c r="E38" s="23"/>
      <c r="F38" s="28"/>
      <c r="G38" s="228"/>
      <c r="H38" s="248"/>
      <c r="I38" s="248"/>
      <c r="J38" s="248"/>
      <c r="S38" s="297"/>
      <c r="T38" s="298"/>
      <c r="W38" s="34"/>
      <c r="X38" s="34"/>
      <c r="Y38" s="34"/>
      <c r="Z38" s="34"/>
      <c r="AA38" s="34"/>
    </row>
    <row r="39" spans="1:27" ht="13" hidden="1" x14ac:dyDescent="0.25">
      <c r="A39" s="243" t="s">
        <v>376</v>
      </c>
      <c r="B39" s="21"/>
      <c r="C39" s="33"/>
      <c r="D39" s="23"/>
      <c r="E39" s="23"/>
      <c r="F39" s="28"/>
      <c r="G39" s="228"/>
      <c r="H39" s="248"/>
      <c r="I39" s="248"/>
      <c r="J39" s="248"/>
      <c r="W39" s="34"/>
      <c r="X39" s="34"/>
      <c r="Y39" s="34"/>
      <c r="Z39" s="34"/>
      <c r="AA39" s="34"/>
    </row>
    <row r="40" spans="1:27" ht="16" thickBot="1" x14ac:dyDescent="0.3">
      <c r="A40" s="243"/>
      <c r="B40" s="209" t="s">
        <v>417</v>
      </c>
      <c r="C40" s="210"/>
      <c r="D40" s="210"/>
      <c r="E40" s="210"/>
      <c r="F40" s="211"/>
      <c r="G40" s="228"/>
      <c r="H40" s="248"/>
      <c r="I40" s="248"/>
      <c r="J40" s="248"/>
      <c r="L40" s="45" t="s">
        <v>51</v>
      </c>
      <c r="M40" s="254">
        <v>0</v>
      </c>
      <c r="N40" s="254"/>
      <c r="O40" s="266"/>
      <c r="P40" s="252">
        <f>M40*N40</f>
        <v>0</v>
      </c>
      <c r="Q40" s="47"/>
      <c r="R40" s="48"/>
      <c r="S40" s="304"/>
      <c r="T40" s="305"/>
      <c r="U40" s="46"/>
      <c r="V40" s="47"/>
      <c r="W40" s="34"/>
      <c r="X40" s="34"/>
      <c r="Y40" s="34"/>
      <c r="Z40" s="34"/>
    </row>
    <row r="41" spans="1:27" ht="13" hidden="1" x14ac:dyDescent="0.25">
      <c r="A41" s="243" t="s">
        <v>376</v>
      </c>
      <c r="B41" s="127" t="s">
        <v>272</v>
      </c>
      <c r="C41" s="26">
        <v>15</v>
      </c>
      <c r="D41" s="36"/>
      <c r="E41" s="36"/>
      <c r="F41" s="27">
        <v>15</v>
      </c>
      <c r="G41" s="228"/>
      <c r="H41" s="248"/>
      <c r="I41" s="248"/>
      <c r="J41" s="248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</row>
    <row r="42" spans="1:27" ht="13" x14ac:dyDescent="0.25">
      <c r="A42" s="243"/>
      <c r="B42" s="133" t="s">
        <v>270</v>
      </c>
      <c r="C42" s="30" t="s">
        <v>168</v>
      </c>
      <c r="D42" s="31">
        <f>F42/F22</f>
        <v>0.15</v>
      </c>
      <c r="E42" s="31"/>
      <c r="F42" s="32">
        <f>IF(F43=0,0,F41)</f>
        <v>15</v>
      </c>
      <c r="G42" s="228"/>
      <c r="H42" s="248"/>
      <c r="I42" s="248"/>
      <c r="J42" s="248"/>
      <c r="L42" s="34"/>
      <c r="M42" s="34"/>
      <c r="N42" s="34"/>
      <c r="T42" s="34"/>
      <c r="U42" s="34"/>
      <c r="V42" s="34"/>
      <c r="W42" s="34"/>
      <c r="X42" s="34"/>
      <c r="Y42" s="34"/>
    </row>
    <row r="43" spans="1:27" ht="25" x14ac:dyDescent="0.25">
      <c r="A43" s="243"/>
      <c r="B43" s="127" t="s">
        <v>416</v>
      </c>
      <c r="C43" s="22" t="s">
        <v>53</v>
      </c>
      <c r="D43" s="23"/>
      <c r="E43" s="23"/>
      <c r="F43" s="24">
        <v>1</v>
      </c>
      <c r="G43" s="228"/>
      <c r="H43" s="248" t="s">
        <v>418</v>
      </c>
      <c r="I43" s="248"/>
      <c r="J43" s="248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</row>
    <row r="44" spans="1:27" ht="13" hidden="1" x14ac:dyDescent="0.25">
      <c r="A44" s="243" t="s">
        <v>376</v>
      </c>
      <c r="B44" s="127" t="s">
        <v>350</v>
      </c>
      <c r="C44" s="22">
        <v>1</v>
      </c>
      <c r="D44" s="23"/>
      <c r="E44" s="23"/>
      <c r="F44" s="27">
        <v>0.15</v>
      </c>
      <c r="G44" s="228"/>
      <c r="H44" s="248" t="s">
        <v>386</v>
      </c>
      <c r="I44" s="248"/>
      <c r="J44" s="248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</row>
    <row r="45" spans="1:27" ht="13" hidden="1" x14ac:dyDescent="0.25">
      <c r="A45" s="243" t="s">
        <v>376</v>
      </c>
      <c r="B45" s="21" t="s">
        <v>35</v>
      </c>
      <c r="C45" s="33"/>
      <c r="D45" s="23"/>
      <c r="E45" s="23"/>
      <c r="F45" s="28"/>
      <c r="G45" s="228"/>
      <c r="H45" s="248"/>
      <c r="I45" s="248"/>
      <c r="J45" s="248"/>
      <c r="L45" s="130"/>
      <c r="M45" s="130"/>
      <c r="N45" s="130"/>
      <c r="O45" s="130"/>
      <c r="P45" s="130"/>
      <c r="Q45" s="131"/>
      <c r="R45" s="34"/>
      <c r="S45" s="34"/>
      <c r="T45" s="34"/>
      <c r="U45" s="34"/>
      <c r="V45" s="34"/>
      <c r="W45" s="34"/>
      <c r="X45" s="34"/>
      <c r="Y45" s="34"/>
    </row>
    <row r="46" spans="1:27" ht="12.75" customHeight="1" x14ac:dyDescent="0.25">
      <c r="A46" s="243"/>
      <c r="B46" s="40" t="s">
        <v>46</v>
      </c>
      <c r="C46" s="41" t="s">
        <v>55</v>
      </c>
      <c r="D46" s="42"/>
      <c r="E46" s="42">
        <f>F46</f>
        <v>0.15</v>
      </c>
      <c r="F46" s="43">
        <f>F43*F44</f>
        <v>0.15</v>
      </c>
      <c r="G46" s="228"/>
      <c r="H46" s="248"/>
      <c r="I46" s="248"/>
      <c r="J46" s="248"/>
      <c r="L46" s="130"/>
      <c r="M46" s="130"/>
      <c r="N46" s="130"/>
      <c r="O46" s="130"/>
      <c r="P46" s="130"/>
      <c r="Q46" s="131"/>
      <c r="R46" s="34"/>
      <c r="S46" s="34"/>
      <c r="T46" s="34"/>
      <c r="U46" s="34"/>
      <c r="V46" s="34"/>
      <c r="W46" s="34"/>
      <c r="X46" s="34"/>
      <c r="Y46" s="34"/>
    </row>
    <row r="47" spans="1:27" ht="12.75" hidden="1" customHeight="1" x14ac:dyDescent="0.25">
      <c r="A47" s="243" t="s">
        <v>376</v>
      </c>
      <c r="B47" s="21"/>
      <c r="C47" s="125"/>
      <c r="D47" s="23"/>
      <c r="E47" s="23"/>
      <c r="F47" s="126"/>
      <c r="G47" s="228"/>
      <c r="H47" s="248"/>
      <c r="I47" s="248"/>
      <c r="J47" s="248"/>
      <c r="L47" s="130"/>
      <c r="M47" s="130"/>
      <c r="N47" s="130"/>
      <c r="O47" s="130"/>
      <c r="P47" s="130"/>
      <c r="Q47" s="131"/>
      <c r="R47" s="34"/>
      <c r="S47" s="34"/>
      <c r="T47" s="34"/>
      <c r="U47" s="34"/>
      <c r="V47" s="34"/>
      <c r="W47" s="34"/>
      <c r="X47" s="34"/>
      <c r="Y47" s="34"/>
    </row>
    <row r="48" spans="1:27" ht="12.75" hidden="1" customHeight="1" x14ac:dyDescent="0.25">
      <c r="A48" s="243" t="s">
        <v>376</v>
      </c>
      <c r="B48" s="21"/>
      <c r="C48" s="33"/>
      <c r="D48" s="23"/>
      <c r="E48" s="23"/>
      <c r="F48" s="28"/>
      <c r="G48" s="228"/>
      <c r="H48" s="248"/>
      <c r="I48" s="248"/>
      <c r="J48" s="248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</row>
    <row r="49" spans="1:26" ht="31" x14ac:dyDescent="0.25">
      <c r="A49" s="243"/>
      <c r="B49" s="209" t="s">
        <v>419</v>
      </c>
      <c r="C49" s="210"/>
      <c r="D49" s="210"/>
      <c r="E49" s="210"/>
      <c r="F49" s="211"/>
      <c r="G49" s="228"/>
      <c r="H49" s="248"/>
      <c r="I49" s="248"/>
      <c r="J49" s="248"/>
      <c r="V49" s="34"/>
      <c r="W49" s="34"/>
      <c r="X49" s="34"/>
      <c r="Y49" s="34"/>
      <c r="Z49" s="34"/>
    </row>
    <row r="50" spans="1:26" ht="13" hidden="1" x14ac:dyDescent="0.25">
      <c r="A50" s="243" t="s">
        <v>376</v>
      </c>
      <c r="B50" s="127" t="s">
        <v>271</v>
      </c>
      <c r="C50" s="26">
        <v>15</v>
      </c>
      <c r="D50" s="36"/>
      <c r="E50" s="36"/>
      <c r="F50" s="27">
        <v>15</v>
      </c>
      <c r="G50" s="228"/>
      <c r="H50" s="248"/>
      <c r="I50" s="248"/>
      <c r="J50" s="248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</row>
    <row r="51" spans="1:26" ht="13" x14ac:dyDescent="0.25">
      <c r="A51" s="243"/>
      <c r="B51" s="133" t="s">
        <v>420</v>
      </c>
      <c r="C51" s="30" t="s">
        <v>168</v>
      </c>
      <c r="D51" s="31">
        <f>F51/F22</f>
        <v>0</v>
      </c>
      <c r="E51" s="31"/>
      <c r="F51" s="32">
        <f>IF(F52=0,0,F50)</f>
        <v>0</v>
      </c>
      <c r="G51" s="228"/>
      <c r="H51" s="248"/>
      <c r="I51" s="248"/>
      <c r="J51" s="248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</row>
    <row r="52" spans="1:26" ht="25" x14ac:dyDescent="0.25">
      <c r="A52" s="243"/>
      <c r="B52" s="127" t="s">
        <v>348</v>
      </c>
      <c r="C52" s="22" t="s">
        <v>53</v>
      </c>
      <c r="D52" s="23"/>
      <c r="E52" s="23"/>
      <c r="F52" s="24">
        <v>0</v>
      </c>
      <c r="G52" s="228"/>
      <c r="H52" s="248" t="s">
        <v>385</v>
      </c>
      <c r="I52" s="248"/>
      <c r="J52" s="248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</row>
    <row r="53" spans="1:26" ht="13" hidden="1" x14ac:dyDescent="0.25">
      <c r="A53" s="243" t="s">
        <v>376</v>
      </c>
      <c r="B53" s="127" t="s">
        <v>349</v>
      </c>
      <c r="C53" s="22">
        <v>1</v>
      </c>
      <c r="D53" s="23"/>
      <c r="E53" s="23"/>
      <c r="F53" s="27">
        <v>0.1</v>
      </c>
      <c r="G53" s="228"/>
      <c r="H53" s="248" t="s">
        <v>386</v>
      </c>
      <c r="I53" s="248"/>
      <c r="J53" s="248"/>
      <c r="L53" s="34"/>
      <c r="M53" s="34"/>
      <c r="N53" s="34"/>
      <c r="T53" s="34"/>
      <c r="U53" s="34"/>
      <c r="V53" s="34"/>
      <c r="W53" s="34"/>
      <c r="X53" s="34"/>
      <c r="Y53" s="34"/>
    </row>
    <row r="54" spans="1:26" ht="13" x14ac:dyDescent="0.25">
      <c r="A54" s="243"/>
      <c r="B54" s="133" t="s">
        <v>421</v>
      </c>
      <c r="C54" s="30" t="s">
        <v>44</v>
      </c>
      <c r="D54" s="31">
        <f>F54/F22</f>
        <v>0.04</v>
      </c>
      <c r="E54" s="31"/>
      <c r="F54" s="32">
        <f>(F55*F57)</f>
        <v>4</v>
      </c>
      <c r="G54" s="228"/>
      <c r="H54" s="248"/>
      <c r="I54" s="248"/>
      <c r="J54" s="248"/>
      <c r="V54" s="34"/>
      <c r="W54" s="34"/>
      <c r="X54" s="34"/>
      <c r="Y54" s="34"/>
      <c r="Z54" s="34"/>
    </row>
    <row r="55" spans="1:26" ht="25" x14ac:dyDescent="0.25">
      <c r="A55" s="243"/>
      <c r="B55" s="127" t="s">
        <v>433</v>
      </c>
      <c r="C55" s="22" t="s">
        <v>42</v>
      </c>
      <c r="D55" s="35"/>
      <c r="E55" s="35"/>
      <c r="F55" s="24">
        <v>1</v>
      </c>
      <c r="G55" s="228"/>
      <c r="H55" s="248" t="s">
        <v>436</v>
      </c>
      <c r="I55" s="248"/>
      <c r="J55" s="248"/>
      <c r="V55" s="34"/>
      <c r="W55" s="34"/>
      <c r="X55" s="34"/>
      <c r="Y55" s="34"/>
      <c r="Z55" s="34"/>
    </row>
    <row r="56" spans="1:26" ht="13" hidden="1" x14ac:dyDescent="0.25">
      <c r="A56" s="243" t="s">
        <v>376</v>
      </c>
      <c r="B56" s="127" t="s">
        <v>268</v>
      </c>
      <c r="C56" s="33" t="s">
        <v>31</v>
      </c>
      <c r="D56" s="23"/>
      <c r="E56" s="23"/>
      <c r="F56" s="28">
        <f>F32</f>
        <v>1</v>
      </c>
      <c r="G56" s="228"/>
      <c r="H56" s="248"/>
      <c r="I56" s="248"/>
      <c r="J56" s="248"/>
      <c r="V56" s="34"/>
      <c r="W56" s="34"/>
      <c r="X56" s="34"/>
      <c r="Y56" s="34"/>
      <c r="Z56" s="34"/>
    </row>
    <row r="57" spans="1:26" ht="25" hidden="1" x14ac:dyDescent="0.25">
      <c r="A57" s="243" t="s">
        <v>376</v>
      </c>
      <c r="B57" s="127" t="s">
        <v>267</v>
      </c>
      <c r="C57" s="26">
        <v>4</v>
      </c>
      <c r="D57" s="36"/>
      <c r="E57" s="36"/>
      <c r="F57" s="27">
        <v>4</v>
      </c>
      <c r="G57" s="228"/>
      <c r="H57" s="248"/>
      <c r="I57" s="248"/>
      <c r="J57" s="248"/>
      <c r="V57" s="34"/>
      <c r="W57" s="34"/>
      <c r="X57" s="34"/>
      <c r="Y57" s="34"/>
      <c r="Z57" s="34"/>
    </row>
    <row r="58" spans="1:26" ht="13" hidden="1" x14ac:dyDescent="0.25">
      <c r="A58" s="243" t="s">
        <v>376</v>
      </c>
      <c r="B58" s="127" t="s">
        <v>266</v>
      </c>
      <c r="C58" s="37">
        <v>0.1</v>
      </c>
      <c r="D58" s="38"/>
      <c r="E58" s="38"/>
      <c r="F58" s="39">
        <v>0.2</v>
      </c>
      <c r="G58" s="228"/>
      <c r="H58" s="248"/>
      <c r="I58" s="248"/>
      <c r="J58" s="248"/>
      <c r="V58" s="34"/>
      <c r="W58" s="34"/>
      <c r="X58" s="34"/>
      <c r="Y58" s="34"/>
      <c r="Z58" s="34"/>
    </row>
    <row r="59" spans="1:26" ht="13" hidden="1" x14ac:dyDescent="0.25">
      <c r="A59" s="243" t="s">
        <v>376</v>
      </c>
      <c r="B59" s="21" t="s">
        <v>35</v>
      </c>
      <c r="C59" s="33"/>
      <c r="D59" s="23"/>
      <c r="E59" s="23"/>
      <c r="F59" s="28"/>
      <c r="G59" s="228"/>
      <c r="H59" s="248"/>
      <c r="I59" s="248"/>
      <c r="J59" s="248"/>
      <c r="V59" s="34"/>
      <c r="W59" s="34"/>
      <c r="X59" s="34"/>
      <c r="Y59" s="34"/>
      <c r="Z59" s="34"/>
    </row>
    <row r="60" spans="1:26" ht="13" x14ac:dyDescent="0.25">
      <c r="A60" s="243"/>
      <c r="B60" s="40" t="s">
        <v>46</v>
      </c>
      <c r="C60" s="41" t="s">
        <v>47</v>
      </c>
      <c r="D60" s="42"/>
      <c r="E60" s="42">
        <f>F60</f>
        <v>0.2</v>
      </c>
      <c r="F60" s="43">
        <f>(F52*F53)+(F55*F58)</f>
        <v>0.2</v>
      </c>
      <c r="G60" s="228"/>
      <c r="H60" s="248"/>
      <c r="I60" s="248"/>
      <c r="J60" s="248"/>
      <c r="V60" s="34"/>
      <c r="W60" s="34"/>
      <c r="X60" s="34"/>
      <c r="Y60" s="34"/>
      <c r="Z60" s="34"/>
    </row>
    <row r="61" spans="1:26" ht="13" x14ac:dyDescent="0.25">
      <c r="A61" s="243"/>
      <c r="B61" s="144" t="s">
        <v>434</v>
      </c>
      <c r="C61" s="44" t="s">
        <v>50</v>
      </c>
      <c r="D61" s="42"/>
      <c r="E61" s="42">
        <f>F61</f>
        <v>0</v>
      </c>
      <c r="F61" s="118">
        <v>0</v>
      </c>
      <c r="G61" s="228"/>
      <c r="H61" s="248" t="s">
        <v>435</v>
      </c>
      <c r="I61" s="248"/>
      <c r="J61" s="248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3" hidden="1" x14ac:dyDescent="0.25">
      <c r="A62" s="243" t="s">
        <v>376</v>
      </c>
      <c r="B62" s="21"/>
      <c r="C62" s="33"/>
      <c r="D62" s="23"/>
      <c r="E62" s="23"/>
      <c r="F62" s="28"/>
      <c r="G62" s="228"/>
      <c r="H62" s="248"/>
      <c r="I62" s="248"/>
      <c r="J62" s="248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</row>
    <row r="63" spans="1:26" ht="15.5" x14ac:dyDescent="0.25">
      <c r="A63" s="243"/>
      <c r="B63" s="209" t="s">
        <v>265</v>
      </c>
      <c r="C63" s="210"/>
      <c r="D63" s="210"/>
      <c r="E63" s="210"/>
      <c r="F63" s="211"/>
      <c r="G63" s="228"/>
      <c r="H63" s="248"/>
      <c r="I63" s="248"/>
      <c r="J63" s="248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</row>
    <row r="64" spans="1:26" ht="13" hidden="1" x14ac:dyDescent="0.25">
      <c r="A64" s="243" t="s">
        <v>376</v>
      </c>
      <c r="B64" s="21" t="s">
        <v>166</v>
      </c>
      <c r="C64" s="26">
        <v>15</v>
      </c>
      <c r="D64" s="36"/>
      <c r="E64" s="36"/>
      <c r="F64" s="27">
        <v>15</v>
      </c>
      <c r="G64" s="228"/>
      <c r="H64" s="248"/>
      <c r="I64" s="248"/>
      <c r="J64" s="248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</row>
    <row r="65" spans="1:25" ht="13" x14ac:dyDescent="0.25">
      <c r="A65" s="243"/>
      <c r="B65" s="29" t="s">
        <v>36</v>
      </c>
      <c r="C65" s="30" t="s">
        <v>168</v>
      </c>
      <c r="D65" s="31">
        <f>F65/F22</f>
        <v>0</v>
      </c>
      <c r="E65" s="31"/>
      <c r="F65" s="32">
        <f>IF(F66=0,0,F64)</f>
        <v>0</v>
      </c>
      <c r="G65" s="228"/>
      <c r="H65" s="248"/>
      <c r="I65" s="248"/>
      <c r="J65" s="248"/>
      <c r="L65" s="34"/>
      <c r="M65" s="34"/>
      <c r="N65" s="34"/>
      <c r="T65" s="34"/>
      <c r="U65" s="34"/>
      <c r="V65" s="34"/>
      <c r="W65" s="34"/>
      <c r="X65" s="34"/>
      <c r="Y65" s="34"/>
    </row>
    <row r="66" spans="1:25" ht="13" x14ac:dyDescent="0.25">
      <c r="A66" s="243"/>
      <c r="B66" s="21" t="s">
        <v>52</v>
      </c>
      <c r="C66" s="22" t="s">
        <v>53</v>
      </c>
      <c r="D66" s="23"/>
      <c r="E66" s="23"/>
      <c r="F66" s="24">
        <v>0</v>
      </c>
      <c r="G66" s="228"/>
      <c r="H66" s="248"/>
      <c r="I66" s="248"/>
      <c r="J66" s="248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</row>
    <row r="67" spans="1:25" ht="13" x14ac:dyDescent="0.25">
      <c r="A67" s="243"/>
      <c r="B67" s="21" t="s">
        <v>54</v>
      </c>
      <c r="C67" s="22">
        <v>1</v>
      </c>
      <c r="D67" s="23"/>
      <c r="E67" s="23"/>
      <c r="F67" s="118">
        <v>0</v>
      </c>
      <c r="G67" s="228"/>
      <c r="H67" s="248" t="s">
        <v>386</v>
      </c>
      <c r="I67" s="248"/>
      <c r="J67" s="248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</row>
    <row r="68" spans="1:25" ht="13" hidden="1" x14ac:dyDescent="0.25">
      <c r="A68" s="243" t="s">
        <v>376</v>
      </c>
      <c r="B68" s="21" t="s">
        <v>35</v>
      </c>
      <c r="C68" s="33"/>
      <c r="D68" s="23"/>
      <c r="E68" s="23"/>
      <c r="F68" s="28"/>
      <c r="G68" s="228"/>
      <c r="H68" s="248"/>
      <c r="I68" s="248"/>
      <c r="J68" s="248"/>
      <c r="L68" s="130"/>
      <c r="M68" s="130"/>
      <c r="N68" s="130"/>
      <c r="O68" s="130"/>
      <c r="P68" s="130"/>
      <c r="Q68" s="131"/>
      <c r="R68" s="34"/>
      <c r="S68" s="34"/>
      <c r="T68" s="34"/>
      <c r="U68" s="34"/>
      <c r="V68" s="34"/>
      <c r="W68" s="34"/>
      <c r="X68" s="34"/>
      <c r="Y68" s="34"/>
    </row>
    <row r="69" spans="1:25" ht="12.75" customHeight="1" x14ac:dyDescent="0.25">
      <c r="A69" s="243"/>
      <c r="B69" s="40" t="s">
        <v>46</v>
      </c>
      <c r="C69" s="41" t="s">
        <v>55</v>
      </c>
      <c r="D69" s="42"/>
      <c r="E69" s="42">
        <f>F69</f>
        <v>0</v>
      </c>
      <c r="F69" s="43">
        <f>F66*F67</f>
        <v>0</v>
      </c>
      <c r="G69" s="228"/>
      <c r="H69" s="248"/>
      <c r="I69" s="248"/>
      <c r="J69" s="248"/>
      <c r="L69" s="130"/>
      <c r="M69" s="130"/>
      <c r="N69" s="130"/>
      <c r="O69" s="130"/>
      <c r="P69" s="130"/>
      <c r="Q69" s="131"/>
      <c r="R69" s="34"/>
      <c r="S69" s="34"/>
      <c r="T69" s="34"/>
      <c r="U69" s="34"/>
      <c r="V69" s="34"/>
      <c r="W69" s="34"/>
      <c r="X69" s="34"/>
      <c r="Y69" s="34"/>
    </row>
    <row r="70" spans="1:25" ht="12.75" hidden="1" customHeight="1" x14ac:dyDescent="0.25">
      <c r="A70" s="243" t="s">
        <v>376</v>
      </c>
      <c r="B70" s="21"/>
      <c r="C70" s="125"/>
      <c r="D70" s="23"/>
      <c r="E70" s="23"/>
      <c r="F70" s="126"/>
      <c r="G70" s="228"/>
      <c r="H70" s="248"/>
      <c r="I70" s="248"/>
      <c r="J70" s="248"/>
      <c r="L70" s="130"/>
      <c r="M70" s="130"/>
      <c r="N70" s="130"/>
      <c r="O70" s="130"/>
      <c r="P70" s="130"/>
      <c r="Q70" s="131"/>
      <c r="R70" s="34"/>
      <c r="S70" s="34"/>
      <c r="T70" s="34"/>
      <c r="U70" s="34"/>
      <c r="V70" s="34"/>
      <c r="W70" s="34"/>
      <c r="X70" s="34"/>
      <c r="Y70" s="34"/>
    </row>
    <row r="71" spans="1:25" ht="12.75" hidden="1" customHeight="1" x14ac:dyDescent="0.25">
      <c r="A71" s="243" t="s">
        <v>376</v>
      </c>
      <c r="B71" s="21"/>
      <c r="C71" s="33"/>
      <c r="D71" s="23"/>
      <c r="E71" s="23"/>
      <c r="F71" s="28"/>
      <c r="G71" s="228"/>
      <c r="H71" s="248"/>
      <c r="I71" s="248"/>
      <c r="J71" s="248"/>
      <c r="L71" s="130"/>
      <c r="M71" s="130"/>
      <c r="N71" s="130"/>
      <c r="O71" s="130"/>
      <c r="P71" s="130"/>
      <c r="Q71" s="131"/>
      <c r="R71" s="34"/>
      <c r="S71" s="34"/>
      <c r="T71" s="34"/>
      <c r="U71" s="34"/>
      <c r="V71" s="34"/>
      <c r="W71" s="34"/>
      <c r="X71" s="34"/>
      <c r="Y71" s="34"/>
    </row>
    <row r="72" spans="1:25" ht="15.5" x14ac:dyDescent="0.25">
      <c r="A72" s="243"/>
      <c r="B72" s="209" t="s">
        <v>238</v>
      </c>
      <c r="C72" s="210"/>
      <c r="D72" s="210"/>
      <c r="E72" s="210"/>
      <c r="F72" s="211"/>
      <c r="G72" s="228"/>
      <c r="H72" s="248"/>
      <c r="I72" s="248"/>
      <c r="J72" s="248"/>
      <c r="L72" s="130"/>
      <c r="M72" s="130"/>
      <c r="N72" s="130"/>
      <c r="O72" s="130"/>
      <c r="P72" s="130"/>
      <c r="Q72" s="131"/>
      <c r="R72" s="34"/>
      <c r="S72" s="34"/>
      <c r="T72" s="34"/>
      <c r="U72" s="34"/>
      <c r="V72" s="34"/>
      <c r="W72" s="34"/>
      <c r="X72" s="34"/>
      <c r="Y72" s="34"/>
    </row>
    <row r="73" spans="1:25" ht="13" x14ac:dyDescent="0.25">
      <c r="A73" s="243"/>
      <c r="B73" s="21" t="s">
        <v>56</v>
      </c>
      <c r="C73" s="22" t="s">
        <v>57</v>
      </c>
      <c r="D73" s="23"/>
      <c r="E73" s="23"/>
      <c r="F73" s="24">
        <v>2</v>
      </c>
      <c r="G73" s="228"/>
      <c r="H73" s="248"/>
      <c r="I73" s="248"/>
      <c r="J73" s="248"/>
      <c r="L73" s="130"/>
      <c r="M73" s="130"/>
      <c r="N73" s="130"/>
      <c r="O73" s="130"/>
      <c r="P73" s="130"/>
      <c r="Q73" s="34"/>
      <c r="R73" s="34"/>
      <c r="S73" s="34"/>
      <c r="T73" s="34"/>
      <c r="U73" s="34"/>
      <c r="V73" s="34"/>
      <c r="W73" s="34"/>
      <c r="X73" s="34"/>
      <c r="Y73" s="34"/>
    </row>
    <row r="74" spans="1:25" ht="12.75" hidden="1" customHeight="1" x14ac:dyDescent="0.25">
      <c r="A74" s="243" t="s">
        <v>376</v>
      </c>
      <c r="B74" s="21" t="s">
        <v>27</v>
      </c>
      <c r="C74" s="22" t="s">
        <v>28</v>
      </c>
      <c r="D74" s="23"/>
      <c r="E74" s="23"/>
      <c r="F74" s="28">
        <f>F31</f>
        <v>25</v>
      </c>
      <c r="G74" s="228"/>
      <c r="H74" s="248"/>
      <c r="I74" s="248"/>
      <c r="J74" s="248"/>
      <c r="L74" s="130"/>
      <c r="M74" s="130"/>
      <c r="N74" s="130"/>
      <c r="O74" s="130"/>
      <c r="P74" s="130"/>
      <c r="Q74" s="34"/>
      <c r="R74" s="34"/>
      <c r="S74" s="34"/>
      <c r="T74" s="34"/>
      <c r="U74" s="34"/>
      <c r="V74" s="34"/>
      <c r="W74" s="34"/>
      <c r="X74" s="34"/>
      <c r="Y74" s="34"/>
    </row>
    <row r="75" spans="1:25" ht="25.5" hidden="1" customHeight="1" x14ac:dyDescent="0.25">
      <c r="A75" s="243" t="s">
        <v>376</v>
      </c>
      <c r="B75" s="21" t="s">
        <v>58</v>
      </c>
      <c r="C75" s="22">
        <v>5</v>
      </c>
      <c r="D75" s="38"/>
      <c r="E75" s="38"/>
      <c r="F75" s="39">
        <v>5</v>
      </c>
      <c r="G75" s="228"/>
      <c r="H75" s="248"/>
      <c r="I75" s="248"/>
      <c r="J75" s="248"/>
      <c r="L75" s="130"/>
      <c r="M75" s="130"/>
      <c r="N75" s="130"/>
      <c r="O75" s="130"/>
      <c r="P75" s="130"/>
      <c r="Q75" s="34"/>
      <c r="R75" s="34"/>
      <c r="S75" s="34"/>
      <c r="T75" s="34"/>
      <c r="U75" s="34"/>
      <c r="V75" s="34"/>
      <c r="W75" s="34"/>
      <c r="X75" s="34"/>
      <c r="Y75" s="34"/>
    </row>
    <row r="76" spans="1:25" ht="25.5" hidden="1" customHeight="1" x14ac:dyDescent="0.25">
      <c r="A76" s="243" t="s">
        <v>376</v>
      </c>
      <c r="B76" s="21" t="s">
        <v>59</v>
      </c>
      <c r="C76" s="49">
        <v>0.2</v>
      </c>
      <c r="D76" s="36"/>
      <c r="E76" s="36"/>
      <c r="F76" s="50">
        <f>20/60</f>
        <v>0.33333333333333331</v>
      </c>
      <c r="G76" s="233"/>
      <c r="H76" s="248" t="s">
        <v>397</v>
      </c>
      <c r="I76" s="248"/>
      <c r="J76" s="248"/>
      <c r="L76" s="130"/>
      <c r="M76" s="130"/>
      <c r="N76" s="130"/>
      <c r="O76" s="130"/>
      <c r="P76" s="130"/>
      <c r="Q76" s="34"/>
      <c r="R76" s="34"/>
      <c r="S76" s="34"/>
      <c r="T76" s="34"/>
      <c r="U76" s="34"/>
      <c r="V76" s="34"/>
      <c r="W76" s="34"/>
      <c r="X76" s="34"/>
      <c r="Y76" s="34"/>
    </row>
    <row r="77" spans="1:25" ht="12.75" hidden="1" customHeight="1" x14ac:dyDescent="0.25">
      <c r="A77" s="243" t="s">
        <v>376</v>
      </c>
      <c r="B77" s="21" t="s">
        <v>25</v>
      </c>
      <c r="C77" s="22" t="s">
        <v>25</v>
      </c>
      <c r="D77" s="23"/>
      <c r="E77" s="23"/>
      <c r="F77" s="28">
        <f>F22</f>
        <v>100</v>
      </c>
      <c r="G77" s="228"/>
      <c r="H77" s="248"/>
      <c r="I77" s="248"/>
      <c r="J77" s="248"/>
      <c r="L77" s="130"/>
      <c r="M77" s="130"/>
      <c r="N77" s="130"/>
      <c r="O77" s="130"/>
      <c r="P77" s="130"/>
      <c r="Q77" s="34"/>
      <c r="R77" s="34"/>
      <c r="S77" s="34"/>
      <c r="T77" s="34"/>
      <c r="U77" s="34"/>
      <c r="V77" s="34"/>
      <c r="W77" s="34"/>
      <c r="X77" s="34"/>
      <c r="Y77" s="34"/>
    </row>
    <row r="78" spans="1:25" ht="12.75" hidden="1" customHeight="1" x14ac:dyDescent="0.25">
      <c r="A78" s="243" t="s">
        <v>376</v>
      </c>
      <c r="B78" s="21" t="s">
        <v>60</v>
      </c>
      <c r="C78" s="22">
        <v>45</v>
      </c>
      <c r="D78" s="38"/>
      <c r="E78" s="38"/>
      <c r="F78" s="39">
        <v>3</v>
      </c>
      <c r="G78" s="228"/>
      <c r="H78" s="248"/>
      <c r="I78" s="248"/>
      <c r="J78" s="248"/>
      <c r="L78" s="130"/>
      <c r="M78" s="130"/>
      <c r="N78" s="130"/>
      <c r="O78" s="130"/>
      <c r="P78" s="130"/>
      <c r="Q78" s="34"/>
      <c r="R78" s="34"/>
      <c r="S78" s="34"/>
      <c r="T78" s="34"/>
      <c r="U78" s="34"/>
      <c r="V78" s="34"/>
      <c r="W78" s="34"/>
      <c r="X78" s="34"/>
      <c r="Y78" s="34"/>
    </row>
    <row r="79" spans="1:25" ht="12.75" hidden="1" customHeight="1" x14ac:dyDescent="0.25">
      <c r="A79" s="243" t="s">
        <v>376</v>
      </c>
      <c r="B79" s="21" t="s">
        <v>61</v>
      </c>
      <c r="C79" s="22" t="s">
        <v>242</v>
      </c>
      <c r="D79" s="23"/>
      <c r="E79" s="23"/>
      <c r="F79" s="28">
        <f>F78*F74</f>
        <v>75</v>
      </c>
      <c r="G79" s="228"/>
      <c r="H79" s="248"/>
      <c r="I79" s="248"/>
      <c r="J79" s="248"/>
      <c r="L79" s="130"/>
      <c r="M79" s="130"/>
      <c r="N79" s="130"/>
      <c r="O79" s="130"/>
      <c r="P79" s="130"/>
      <c r="Q79" s="34"/>
      <c r="R79" s="34"/>
      <c r="S79" s="34"/>
      <c r="T79" s="34"/>
      <c r="U79" s="34"/>
      <c r="V79" s="34"/>
      <c r="W79" s="34"/>
      <c r="X79" s="34"/>
      <c r="Y79" s="34"/>
    </row>
    <row r="80" spans="1:25" ht="12.75" hidden="1" customHeight="1" x14ac:dyDescent="0.25">
      <c r="A80" s="243" t="s">
        <v>376</v>
      </c>
      <c r="B80" s="21" t="s">
        <v>62</v>
      </c>
      <c r="C80" s="22" t="s">
        <v>63</v>
      </c>
      <c r="D80" s="23"/>
      <c r="E80" s="23"/>
      <c r="F80" s="28">
        <f>F74*F75</f>
        <v>125</v>
      </c>
      <c r="G80" s="228"/>
      <c r="H80" s="248"/>
      <c r="I80" s="248"/>
      <c r="J80" s="248"/>
      <c r="L80" s="130"/>
      <c r="M80" s="130"/>
      <c r="N80" s="130"/>
      <c r="O80" s="130"/>
      <c r="P80" s="130"/>
      <c r="Q80" s="34"/>
      <c r="R80" s="34"/>
      <c r="S80" s="34"/>
      <c r="T80" s="34"/>
      <c r="U80" s="34"/>
      <c r="V80" s="34"/>
      <c r="W80" s="34"/>
      <c r="X80" s="34"/>
      <c r="Y80" s="34"/>
    </row>
    <row r="81" spans="1:25" ht="25.5" hidden="1" customHeight="1" x14ac:dyDescent="0.25">
      <c r="A81" s="243" t="s">
        <v>376</v>
      </c>
      <c r="B81" s="21" t="s">
        <v>64</v>
      </c>
      <c r="C81" s="22" t="s">
        <v>65</v>
      </c>
      <c r="D81" s="23"/>
      <c r="E81" s="23"/>
      <c r="F81" s="51">
        <f>(F94*F73*(F95+F96)+F28*(F97*(F90+F93)+F98*(F88+F89))+10)+(F76*F87)*F100</f>
        <v>48.800133333333328</v>
      </c>
      <c r="G81" s="228"/>
      <c r="H81" s="248"/>
      <c r="I81" s="248"/>
      <c r="J81" s="248"/>
      <c r="L81" s="130"/>
      <c r="M81" s="130"/>
      <c r="N81" s="130"/>
      <c r="O81" s="130"/>
      <c r="P81" s="130"/>
      <c r="Q81" s="34"/>
      <c r="R81" s="34"/>
      <c r="S81" s="34"/>
      <c r="T81" s="34"/>
      <c r="U81" s="34"/>
      <c r="V81" s="34"/>
      <c r="W81" s="34"/>
      <c r="X81" s="34"/>
      <c r="Y81" s="34"/>
    </row>
    <row r="82" spans="1:25" ht="12.75" hidden="1" customHeight="1" x14ac:dyDescent="0.25">
      <c r="A82" s="243" t="s">
        <v>376</v>
      </c>
      <c r="B82" s="127" t="s">
        <v>338</v>
      </c>
      <c r="C82" s="22"/>
      <c r="D82" s="23"/>
      <c r="E82" s="23"/>
      <c r="F82" s="187">
        <v>0.5</v>
      </c>
      <c r="G82" s="228"/>
      <c r="H82" s="248"/>
      <c r="I82" s="248"/>
      <c r="J82" s="248"/>
      <c r="L82" s="130"/>
      <c r="M82" s="130"/>
      <c r="N82" s="130"/>
      <c r="O82" s="130"/>
      <c r="P82" s="130"/>
      <c r="Q82" s="34"/>
      <c r="R82" s="34"/>
      <c r="S82" s="34"/>
      <c r="T82" s="34"/>
      <c r="U82" s="34"/>
      <c r="V82" s="34"/>
      <c r="W82" s="34"/>
      <c r="X82" s="34"/>
      <c r="Y82" s="34"/>
    </row>
    <row r="83" spans="1:25" ht="12.75" hidden="1" customHeight="1" x14ac:dyDescent="0.25">
      <c r="A83" s="243" t="s">
        <v>376</v>
      </c>
      <c r="B83" s="127" t="s">
        <v>337</v>
      </c>
      <c r="C83" s="22"/>
      <c r="D83" s="23"/>
      <c r="E83" s="23"/>
      <c r="F83" s="51">
        <f>IF(F27="NO",0,F74*F82)</f>
        <v>12.5</v>
      </c>
      <c r="G83" s="228"/>
      <c r="H83" s="248"/>
      <c r="I83" s="248"/>
      <c r="J83" s="248"/>
      <c r="L83" s="130"/>
      <c r="M83" s="130"/>
      <c r="N83" s="130"/>
      <c r="O83" s="130"/>
      <c r="P83" s="130"/>
      <c r="Q83" s="34"/>
      <c r="R83" s="34"/>
      <c r="S83" s="34"/>
      <c r="T83" s="34"/>
      <c r="U83" s="34"/>
      <c r="V83" s="34"/>
      <c r="W83" s="34"/>
      <c r="X83" s="34"/>
      <c r="Y83" s="34"/>
    </row>
    <row r="84" spans="1:25" ht="13" x14ac:dyDescent="0.25">
      <c r="A84" s="243"/>
      <c r="B84" s="29" t="s">
        <v>36</v>
      </c>
      <c r="C84" s="30" t="s">
        <v>66</v>
      </c>
      <c r="D84" s="31">
        <f>F84/F22</f>
        <v>2.6130013333333331</v>
      </c>
      <c r="E84" s="31"/>
      <c r="F84" s="32">
        <f>IF(F87=0,0,(F79+F80+F81+F83))</f>
        <v>261.30013333333329</v>
      </c>
      <c r="G84" s="228"/>
      <c r="H84" s="248"/>
      <c r="I84" s="248"/>
      <c r="J84" s="248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</row>
    <row r="85" spans="1:25" ht="13" hidden="1" x14ac:dyDescent="0.25">
      <c r="A85" s="243" t="s">
        <v>376</v>
      </c>
      <c r="B85" s="52"/>
      <c r="C85" s="53"/>
      <c r="D85" s="54"/>
      <c r="E85" s="54"/>
      <c r="F85" s="55"/>
      <c r="G85" s="228"/>
      <c r="H85" s="248"/>
      <c r="I85" s="248"/>
      <c r="J85" s="248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</row>
    <row r="86" spans="1:25" ht="13" hidden="1" x14ac:dyDescent="0.25">
      <c r="A86" s="243" t="s">
        <v>376</v>
      </c>
      <c r="B86" s="21"/>
      <c r="C86" s="56"/>
      <c r="D86" s="57"/>
      <c r="E86" s="57"/>
      <c r="F86" s="58"/>
      <c r="G86" s="228"/>
      <c r="H86" s="248"/>
      <c r="I86" s="248"/>
      <c r="J86" s="248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</row>
    <row r="87" spans="1:25" ht="13" x14ac:dyDescent="0.25">
      <c r="A87" s="243"/>
      <c r="B87" s="21" t="s">
        <v>67</v>
      </c>
      <c r="C87" s="22" t="s">
        <v>68</v>
      </c>
      <c r="D87" s="23"/>
      <c r="E87" s="23"/>
      <c r="F87" s="24">
        <v>56</v>
      </c>
      <c r="G87" s="228"/>
      <c r="H87" s="248"/>
      <c r="I87" s="248"/>
      <c r="J87" s="248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</row>
    <row r="88" spans="1:25" ht="13" x14ac:dyDescent="0.25">
      <c r="A88" s="243"/>
      <c r="B88" s="21" t="s">
        <v>69</v>
      </c>
      <c r="C88" s="22" t="s">
        <v>70</v>
      </c>
      <c r="D88" s="23"/>
      <c r="E88" s="23"/>
      <c r="F88" s="24">
        <v>1</v>
      </c>
      <c r="G88" s="228"/>
      <c r="H88" s="248"/>
      <c r="I88" s="248"/>
      <c r="J88" s="248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</row>
    <row r="89" spans="1:25" ht="13" x14ac:dyDescent="0.25">
      <c r="A89" s="243"/>
      <c r="B89" s="21" t="s">
        <v>71</v>
      </c>
      <c r="C89" s="22" t="s">
        <v>72</v>
      </c>
      <c r="D89" s="23"/>
      <c r="E89" s="23"/>
      <c r="F89" s="24">
        <v>0</v>
      </c>
      <c r="G89" s="228"/>
      <c r="H89" s="248"/>
      <c r="I89" s="248"/>
      <c r="J89" s="248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</row>
    <row r="90" spans="1:25" ht="13" x14ac:dyDescent="0.25">
      <c r="A90" s="243"/>
      <c r="B90" s="21" t="s">
        <v>73</v>
      </c>
      <c r="C90" s="22" t="s">
        <v>74</v>
      </c>
      <c r="D90" s="23"/>
      <c r="E90" s="23"/>
      <c r="F90" s="24">
        <v>7</v>
      </c>
      <c r="G90" s="228"/>
      <c r="H90" s="248" t="s">
        <v>387</v>
      </c>
      <c r="I90" s="248"/>
      <c r="J90" s="248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</row>
    <row r="91" spans="1:25" ht="13" x14ac:dyDescent="0.25">
      <c r="A91" s="243"/>
      <c r="B91" s="21" t="s">
        <v>77</v>
      </c>
      <c r="C91" s="22" t="s">
        <v>78</v>
      </c>
      <c r="D91" s="23"/>
      <c r="E91" s="23"/>
      <c r="F91" s="24">
        <v>3</v>
      </c>
      <c r="G91" s="228" t="s">
        <v>616</v>
      </c>
      <c r="H91" s="248"/>
      <c r="I91" s="248"/>
      <c r="J91" s="248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</row>
    <row r="92" spans="1:25" ht="13" x14ac:dyDescent="0.25">
      <c r="A92" s="243"/>
      <c r="B92" s="21" t="s">
        <v>79</v>
      </c>
      <c r="C92" s="22" t="s">
        <v>80</v>
      </c>
      <c r="D92" s="23"/>
      <c r="E92" s="23"/>
      <c r="F92" s="24">
        <v>0</v>
      </c>
      <c r="G92" s="228"/>
      <c r="H92" s="248"/>
      <c r="I92" s="248"/>
      <c r="J92" s="248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</row>
    <row r="93" spans="1:25" ht="12.75" hidden="1" customHeight="1" x14ac:dyDescent="0.25">
      <c r="A93" s="243" t="s">
        <v>376</v>
      </c>
      <c r="B93" s="21" t="s">
        <v>81</v>
      </c>
      <c r="C93" s="33" t="s">
        <v>82</v>
      </c>
      <c r="D93" s="23"/>
      <c r="E93" s="23"/>
      <c r="F93" s="28">
        <f>F87-F88-F89-F90</f>
        <v>48</v>
      </c>
      <c r="G93" s="228"/>
      <c r="H93" s="248"/>
      <c r="I93" s="248"/>
      <c r="J93" s="248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</row>
    <row r="94" spans="1:25" ht="12.75" hidden="1" customHeight="1" x14ac:dyDescent="0.25">
      <c r="A94" s="243" t="s">
        <v>376</v>
      </c>
      <c r="B94" s="21" t="s">
        <v>83</v>
      </c>
      <c r="C94" s="26" t="s">
        <v>84</v>
      </c>
      <c r="D94" s="36"/>
      <c r="E94" s="36"/>
      <c r="F94" s="27">
        <v>0.05</v>
      </c>
      <c r="G94" s="228"/>
      <c r="H94" s="248"/>
      <c r="I94" s="248"/>
      <c r="J94" s="248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</row>
    <row r="95" spans="1:25" ht="12.75" hidden="1" customHeight="1" x14ac:dyDescent="0.25">
      <c r="A95" s="243" t="s">
        <v>376</v>
      </c>
      <c r="B95" s="21" t="s">
        <v>85</v>
      </c>
      <c r="C95" s="26" t="s">
        <v>86</v>
      </c>
      <c r="D95" s="36"/>
      <c r="E95" s="36"/>
      <c r="F95" s="27">
        <v>1</v>
      </c>
      <c r="G95" s="228"/>
      <c r="H95" s="248"/>
      <c r="I95" s="248"/>
      <c r="J95" s="248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</row>
    <row r="96" spans="1:25" ht="12.75" hidden="1" customHeight="1" x14ac:dyDescent="0.25">
      <c r="A96" s="243" t="s">
        <v>376</v>
      </c>
      <c r="B96" s="21" t="s">
        <v>87</v>
      </c>
      <c r="C96" s="26" t="s">
        <v>88</v>
      </c>
      <c r="D96" s="36"/>
      <c r="E96" s="36"/>
      <c r="F96" s="27">
        <v>1</v>
      </c>
      <c r="G96" s="228"/>
      <c r="H96" s="248"/>
      <c r="I96" s="248"/>
      <c r="J96" s="248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</row>
    <row r="97" spans="1:25" ht="12.75" hidden="1" customHeight="1" x14ac:dyDescent="0.25">
      <c r="A97" s="243" t="s">
        <v>376</v>
      </c>
      <c r="B97" s="21" t="s">
        <v>89</v>
      </c>
      <c r="C97" s="26" t="s">
        <v>90</v>
      </c>
      <c r="D97" s="36"/>
      <c r="E97" s="36"/>
      <c r="F97" s="27">
        <v>5.0000000000000001E-3</v>
      </c>
      <c r="G97" s="228"/>
      <c r="H97" s="248"/>
      <c r="I97" s="248"/>
      <c r="J97" s="248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</row>
    <row r="98" spans="1:25" ht="12.75" hidden="1" customHeight="1" x14ac:dyDescent="0.25">
      <c r="A98" s="243" t="s">
        <v>376</v>
      </c>
      <c r="B98" s="21" t="s">
        <v>91</v>
      </c>
      <c r="C98" s="26" t="s">
        <v>92</v>
      </c>
      <c r="D98" s="36"/>
      <c r="E98" s="36"/>
      <c r="F98" s="27">
        <v>4.1700000000000001E-2</v>
      </c>
      <c r="G98" s="228"/>
      <c r="H98" s="248"/>
      <c r="I98" s="248"/>
      <c r="J98" s="248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</row>
    <row r="99" spans="1:25" ht="12.75" hidden="1" customHeight="1" x14ac:dyDescent="0.25">
      <c r="A99" s="243" t="s">
        <v>376</v>
      </c>
      <c r="B99" s="21" t="s">
        <v>93</v>
      </c>
      <c r="C99" s="37">
        <v>0.5</v>
      </c>
      <c r="D99" s="38"/>
      <c r="E99" s="38"/>
      <c r="F99" s="39">
        <v>0.5</v>
      </c>
      <c r="G99" s="228"/>
      <c r="H99" s="248"/>
      <c r="I99" s="248"/>
      <c r="J99" s="248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</row>
    <row r="100" spans="1:25" ht="12.75" hidden="1" customHeight="1" x14ac:dyDescent="0.25">
      <c r="A100" s="243" t="s">
        <v>376</v>
      </c>
      <c r="B100" s="21" t="s">
        <v>94</v>
      </c>
      <c r="C100" s="26">
        <v>4</v>
      </c>
      <c r="D100" s="36"/>
      <c r="E100" s="36"/>
      <c r="F100" s="27">
        <v>2</v>
      </c>
      <c r="G100" s="228"/>
      <c r="H100" s="248"/>
      <c r="I100" s="248"/>
      <c r="J100" s="248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</row>
    <row r="101" spans="1:25" ht="12.75" hidden="1" customHeight="1" x14ac:dyDescent="0.25">
      <c r="A101" s="243" t="s">
        <v>376</v>
      </c>
      <c r="B101" s="21" t="s">
        <v>95</v>
      </c>
      <c r="C101" s="33" t="s">
        <v>96</v>
      </c>
      <c r="D101" s="23"/>
      <c r="E101" s="23"/>
      <c r="F101" s="28">
        <f>IF(F88=0,0,F94/F28+(F98*F88)/F96)</f>
        <v>5.4199999999999998E-2</v>
      </c>
      <c r="G101" s="228"/>
      <c r="H101" s="248"/>
      <c r="I101" s="248"/>
      <c r="J101" s="248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</row>
    <row r="102" spans="1:25" ht="12.75" hidden="1" customHeight="1" x14ac:dyDescent="0.25">
      <c r="A102" s="243" t="s">
        <v>376</v>
      </c>
      <c r="B102" s="21" t="s">
        <v>97</v>
      </c>
      <c r="C102" s="33" t="s">
        <v>98</v>
      </c>
      <c r="D102" s="23"/>
      <c r="E102" s="23"/>
      <c r="F102" s="28">
        <f>IF(F93=0,0,F94/F28+(F97*F93)/F95)</f>
        <v>0.2525</v>
      </c>
      <c r="G102" s="228"/>
      <c r="H102" s="248"/>
      <c r="I102" s="248"/>
      <c r="J102" s="248"/>
      <c r="L102" s="59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</row>
    <row r="103" spans="1:25" ht="12.75" hidden="1" customHeight="1" x14ac:dyDescent="0.25">
      <c r="A103" s="243" t="s">
        <v>376</v>
      </c>
      <c r="B103" s="21" t="s">
        <v>99</v>
      </c>
      <c r="C103" s="33" t="s">
        <v>100</v>
      </c>
      <c r="D103" s="23"/>
      <c r="E103" s="23"/>
      <c r="F103" s="28">
        <f>IF(F89=0,0,F94/F28+(F98*F89)/F96)</f>
        <v>0</v>
      </c>
      <c r="G103" s="228"/>
      <c r="H103" s="248"/>
      <c r="I103" s="248"/>
      <c r="J103" s="248"/>
      <c r="L103" s="59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</row>
    <row r="104" spans="1:25" ht="12.75" hidden="1" customHeight="1" x14ac:dyDescent="0.25">
      <c r="A104" s="243" t="s">
        <v>376</v>
      </c>
      <c r="B104" s="21" t="s">
        <v>101</v>
      </c>
      <c r="C104" s="33" t="s">
        <v>102</v>
      </c>
      <c r="D104" s="23"/>
      <c r="E104" s="23"/>
      <c r="F104" s="28">
        <f>IF(F90=0,0,F94/F28+(F97*F90)/F95)</f>
        <v>4.7500000000000001E-2</v>
      </c>
      <c r="G104" s="228"/>
      <c r="H104" s="248"/>
      <c r="I104" s="248"/>
      <c r="J104" s="248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</row>
    <row r="105" spans="1:25" ht="12.75" hidden="1" customHeight="1" x14ac:dyDescent="0.25">
      <c r="A105" s="243" t="s">
        <v>376</v>
      </c>
      <c r="B105" s="159" t="s">
        <v>103</v>
      </c>
      <c r="C105" s="160" t="s">
        <v>104</v>
      </c>
      <c r="D105" s="161"/>
      <c r="E105" s="161"/>
      <c r="F105" s="162">
        <f>F91*F99</f>
        <v>1.5</v>
      </c>
      <c r="G105" s="233"/>
      <c r="H105" s="248" t="s">
        <v>289</v>
      </c>
      <c r="I105" s="248"/>
      <c r="J105" s="248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</row>
    <row r="106" spans="1:25" ht="12.75" hidden="1" customHeight="1" x14ac:dyDescent="0.25">
      <c r="A106" s="243" t="s">
        <v>376</v>
      </c>
      <c r="B106" s="159" t="s">
        <v>105</v>
      </c>
      <c r="C106" s="160" t="s">
        <v>106</v>
      </c>
      <c r="D106" s="161"/>
      <c r="E106" s="161"/>
      <c r="F106" s="162">
        <f>F92*F99</f>
        <v>0</v>
      </c>
      <c r="G106" s="233"/>
      <c r="H106" s="248" t="s">
        <v>289</v>
      </c>
      <c r="I106" s="248"/>
      <c r="J106" s="248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</row>
    <row r="107" spans="1:25" ht="12.75" hidden="1" customHeight="1" x14ac:dyDescent="0.25">
      <c r="A107" s="243" t="s">
        <v>376</v>
      </c>
      <c r="B107" s="127" t="s">
        <v>352</v>
      </c>
      <c r="C107" s="60"/>
      <c r="D107" s="36"/>
      <c r="E107" s="36"/>
      <c r="F107" s="187">
        <f>IF(F87=0,0,(IF(F25="YES",F26*F73,0)))</f>
        <v>0.33332000000000001</v>
      </c>
      <c r="G107" s="228"/>
      <c r="H107" s="248"/>
      <c r="I107" s="248"/>
      <c r="J107" s="248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</row>
    <row r="108" spans="1:25" ht="12.75" hidden="1" customHeight="1" x14ac:dyDescent="0.25">
      <c r="A108" s="243" t="s">
        <v>376</v>
      </c>
      <c r="B108" s="127" t="s">
        <v>306</v>
      </c>
      <c r="C108" s="60">
        <v>0.25</v>
      </c>
      <c r="D108" s="36"/>
      <c r="E108" s="36"/>
      <c r="F108" s="61">
        <v>0.25</v>
      </c>
      <c r="G108" s="228"/>
      <c r="H108" s="248"/>
      <c r="I108" s="248"/>
      <c r="J108" s="248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</row>
    <row r="109" spans="1:25" ht="12.75" hidden="1" customHeight="1" x14ac:dyDescent="0.25">
      <c r="A109" s="243" t="s">
        <v>376</v>
      </c>
      <c r="B109" s="153" t="s">
        <v>307</v>
      </c>
      <c r="C109" s="157">
        <v>0.5</v>
      </c>
      <c r="D109" s="155"/>
      <c r="E109" s="155"/>
      <c r="F109" s="158">
        <v>0.5</v>
      </c>
      <c r="G109" s="228"/>
      <c r="H109" s="248"/>
      <c r="I109" s="248"/>
      <c r="J109" s="248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</row>
    <row r="110" spans="1:25" ht="13" x14ac:dyDescent="0.25">
      <c r="A110" s="243"/>
      <c r="B110" s="144" t="s">
        <v>290</v>
      </c>
      <c r="C110" s="145" t="s">
        <v>107</v>
      </c>
      <c r="D110" s="42"/>
      <c r="E110" s="42">
        <f>IF(F23="Class 2",F110,0)</f>
        <v>2.8395699999999997</v>
      </c>
      <c r="F110" s="43">
        <f>IF(F87=0,0,(F100*MAX(F101,F102))+(F91*F99))*(1+F108)+F107</f>
        <v>2.8395699999999997</v>
      </c>
      <c r="G110" s="228"/>
      <c r="H110" s="248"/>
      <c r="I110" s="248"/>
      <c r="J110" s="248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</row>
    <row r="111" spans="1:25" ht="13" x14ac:dyDescent="0.25">
      <c r="A111" s="243"/>
      <c r="B111" s="147" t="s">
        <v>308</v>
      </c>
      <c r="C111" s="148"/>
      <c r="D111" s="149"/>
      <c r="E111" s="149">
        <f>IF(F23="Class 3",F111,0)</f>
        <v>0</v>
      </c>
      <c r="F111" s="150">
        <f>IF(F87=0,0,(F100*MAX(F101,F102))+(F91*F99))*(1+F109)+F107</f>
        <v>3.3408199999999999</v>
      </c>
      <c r="G111" s="228"/>
      <c r="H111" s="248"/>
      <c r="I111" s="248"/>
      <c r="J111" s="248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</row>
    <row r="112" spans="1:25" ht="13" x14ac:dyDescent="0.25">
      <c r="A112" s="243"/>
      <c r="B112" s="144" t="s">
        <v>291</v>
      </c>
      <c r="C112" s="145" t="s">
        <v>108</v>
      </c>
      <c r="D112" s="42"/>
      <c r="E112" s="42">
        <f>IF(F23="Class 2",F112,0)</f>
        <v>0.45206999999999997</v>
      </c>
      <c r="F112" s="43">
        <f>IF(F87=0,0,(F100*MAX(F104,F103))+(F92*F99))*(1+F108)+F107</f>
        <v>0.45206999999999997</v>
      </c>
      <c r="G112" s="228"/>
      <c r="H112" s="248"/>
      <c r="I112" s="248"/>
      <c r="J112" s="248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</row>
    <row r="113" spans="1:25" ht="13" x14ac:dyDescent="0.25">
      <c r="A113" s="243"/>
      <c r="B113" s="147" t="s">
        <v>343</v>
      </c>
      <c r="C113" s="148"/>
      <c r="D113" s="149"/>
      <c r="E113" s="149">
        <f>IF(F23="Class 3",F113,0)</f>
        <v>0</v>
      </c>
      <c r="F113" s="150">
        <f>IF(F87=0,0,(F100*MAX(F104,F103))+(F92*F99))*(1+F109)+F107</f>
        <v>0.47582000000000002</v>
      </c>
      <c r="G113" s="228"/>
      <c r="H113" s="248"/>
      <c r="I113" s="248"/>
      <c r="J113" s="248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</row>
    <row r="114" spans="1:25" ht="13" hidden="1" x14ac:dyDescent="0.25">
      <c r="A114" s="243" t="s">
        <v>376</v>
      </c>
      <c r="B114" s="21"/>
      <c r="C114" s="33"/>
      <c r="D114" s="23"/>
      <c r="E114" s="23"/>
      <c r="F114" s="28"/>
      <c r="G114" s="228"/>
      <c r="H114" s="248"/>
      <c r="I114" s="248"/>
      <c r="J114" s="248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</row>
    <row r="115" spans="1:25" ht="13" hidden="1" x14ac:dyDescent="0.25">
      <c r="A115" s="243" t="s">
        <v>376</v>
      </c>
      <c r="B115" s="21"/>
      <c r="C115" s="33"/>
      <c r="D115" s="23"/>
      <c r="E115" s="23"/>
      <c r="F115" s="28"/>
      <c r="G115" s="228"/>
      <c r="H115" s="248"/>
      <c r="I115" s="248"/>
      <c r="J115" s="248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</row>
    <row r="116" spans="1:25" ht="15.5" x14ac:dyDescent="0.25">
      <c r="A116" s="243"/>
      <c r="B116" s="209" t="s">
        <v>274</v>
      </c>
      <c r="C116" s="210"/>
      <c r="D116" s="210"/>
      <c r="E116" s="210"/>
      <c r="F116" s="211"/>
      <c r="G116" s="228"/>
      <c r="H116" s="248"/>
      <c r="I116" s="248"/>
      <c r="J116" s="248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</row>
    <row r="117" spans="1:25" ht="13" hidden="1" x14ac:dyDescent="0.25">
      <c r="A117" s="243" t="s">
        <v>376</v>
      </c>
      <c r="B117" s="21" t="s">
        <v>166</v>
      </c>
      <c r="C117" s="26">
        <v>15</v>
      </c>
      <c r="D117" s="36"/>
      <c r="E117" s="36"/>
      <c r="F117" s="27">
        <v>15</v>
      </c>
      <c r="G117" s="228"/>
      <c r="H117" s="248"/>
      <c r="I117" s="248"/>
      <c r="J117" s="248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</row>
    <row r="118" spans="1:25" ht="13" x14ac:dyDescent="0.25">
      <c r="A118" s="243"/>
      <c r="B118" s="29" t="s">
        <v>36</v>
      </c>
      <c r="C118" s="30" t="s">
        <v>168</v>
      </c>
      <c r="D118" s="31">
        <f>F118/F22</f>
        <v>0.15</v>
      </c>
      <c r="E118" s="31"/>
      <c r="F118" s="32">
        <f>IF(F119=0,0,F117)</f>
        <v>15</v>
      </c>
      <c r="G118" s="228"/>
      <c r="H118" s="248"/>
      <c r="I118" s="248"/>
      <c r="J118" s="248"/>
      <c r="L118" s="34"/>
      <c r="M118" s="34"/>
      <c r="N118" s="34"/>
      <c r="T118" s="34"/>
      <c r="U118" s="34"/>
      <c r="V118" s="34"/>
      <c r="W118" s="34"/>
      <c r="X118" s="34"/>
      <c r="Y118" s="34"/>
    </row>
    <row r="119" spans="1:25" ht="13" x14ac:dyDescent="0.25">
      <c r="A119" s="243"/>
      <c r="B119" s="127" t="s">
        <v>276</v>
      </c>
      <c r="C119" s="22" t="s">
        <v>53</v>
      </c>
      <c r="D119" s="23"/>
      <c r="E119" s="23"/>
      <c r="F119" s="24">
        <v>3</v>
      </c>
      <c r="G119" s="228"/>
      <c r="H119" s="248"/>
      <c r="I119" s="248"/>
      <c r="J119" s="248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</row>
    <row r="120" spans="1:25" ht="13" x14ac:dyDescent="0.25">
      <c r="A120" s="243"/>
      <c r="B120" s="21" t="s">
        <v>248</v>
      </c>
      <c r="C120" s="151" t="s">
        <v>358</v>
      </c>
      <c r="D120" s="23"/>
      <c r="E120" s="23"/>
      <c r="F120" s="116">
        <v>0.2</v>
      </c>
      <c r="G120" s="228"/>
      <c r="H120" s="248"/>
      <c r="I120" s="248"/>
      <c r="J120" s="248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</row>
    <row r="121" spans="1:25" ht="13" hidden="1" x14ac:dyDescent="0.25">
      <c r="A121" s="243" t="s">
        <v>376</v>
      </c>
      <c r="B121" s="127" t="s">
        <v>277</v>
      </c>
      <c r="C121" s="22">
        <v>1</v>
      </c>
      <c r="D121" s="23"/>
      <c r="E121" s="23"/>
      <c r="F121" s="27">
        <v>1</v>
      </c>
      <c r="G121" s="228"/>
      <c r="H121" s="248"/>
      <c r="I121" s="248"/>
      <c r="J121" s="248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</row>
    <row r="122" spans="1:25" ht="12.75" hidden="1" customHeight="1" x14ac:dyDescent="0.25">
      <c r="A122" s="243" t="s">
        <v>376</v>
      </c>
      <c r="B122" s="127" t="s">
        <v>352</v>
      </c>
      <c r="C122" s="60"/>
      <c r="D122" s="36"/>
      <c r="E122" s="36"/>
      <c r="F122" s="187">
        <f>IF(F119=0,0,(IF(F25="YES",F26,0)))</f>
        <v>0.16666</v>
      </c>
      <c r="G122" s="228"/>
      <c r="H122" s="248"/>
      <c r="I122" s="248"/>
      <c r="J122" s="248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</row>
    <row r="123" spans="1:25" ht="13" hidden="1" x14ac:dyDescent="0.25">
      <c r="A123" s="243" t="s">
        <v>376</v>
      </c>
      <c r="B123" s="21" t="s">
        <v>35</v>
      </c>
      <c r="C123" s="33"/>
      <c r="D123" s="23"/>
      <c r="E123" s="23"/>
      <c r="F123" s="28"/>
      <c r="G123" s="228"/>
      <c r="H123" s="248"/>
      <c r="I123" s="248"/>
      <c r="J123" s="248"/>
      <c r="L123" s="130"/>
      <c r="M123" s="130"/>
      <c r="N123" s="130"/>
      <c r="O123" s="130"/>
      <c r="P123" s="130"/>
      <c r="Q123" s="131"/>
      <c r="R123" s="34"/>
      <c r="S123" s="34"/>
      <c r="T123" s="34"/>
      <c r="U123" s="34"/>
      <c r="V123" s="34"/>
      <c r="W123" s="34"/>
      <c r="X123" s="34"/>
      <c r="Y123" s="34"/>
    </row>
    <row r="124" spans="1:25" ht="12.75" customHeight="1" x14ac:dyDescent="0.25">
      <c r="A124" s="243"/>
      <c r="B124" s="40" t="s">
        <v>46</v>
      </c>
      <c r="C124" s="41" t="s">
        <v>55</v>
      </c>
      <c r="D124" s="42"/>
      <c r="E124" s="42">
        <f>F124</f>
        <v>0.76666000000000012</v>
      </c>
      <c r="F124" s="43">
        <f>(F119*F121*F120)+F122</f>
        <v>0.76666000000000012</v>
      </c>
      <c r="G124" s="228"/>
      <c r="H124" s="248"/>
      <c r="I124" s="248"/>
      <c r="J124" s="248"/>
      <c r="L124" s="130"/>
      <c r="M124" s="130"/>
      <c r="N124" s="130"/>
      <c r="O124" s="130"/>
      <c r="P124" s="130"/>
      <c r="Q124" s="131"/>
      <c r="R124" s="34"/>
      <c r="S124" s="34"/>
      <c r="T124" s="34"/>
      <c r="U124" s="34"/>
      <c r="V124" s="34"/>
      <c r="W124" s="34"/>
      <c r="X124" s="34"/>
      <c r="Y124" s="34"/>
    </row>
    <row r="125" spans="1:25" ht="12.75" hidden="1" customHeight="1" x14ac:dyDescent="0.25">
      <c r="A125" s="243" t="s">
        <v>376</v>
      </c>
      <c r="B125" s="21"/>
      <c r="C125" s="125"/>
      <c r="D125" s="23"/>
      <c r="E125" s="23"/>
      <c r="F125" s="126"/>
      <c r="G125" s="228"/>
      <c r="H125" s="248"/>
      <c r="I125" s="248"/>
      <c r="J125" s="248"/>
      <c r="L125" s="130"/>
      <c r="M125" s="130"/>
      <c r="N125" s="130"/>
      <c r="O125" s="130"/>
      <c r="P125" s="130"/>
      <c r="Q125" s="131"/>
      <c r="R125" s="34"/>
      <c r="S125" s="34"/>
      <c r="T125" s="34"/>
      <c r="U125" s="34"/>
      <c r="V125" s="34"/>
      <c r="W125" s="34"/>
      <c r="X125" s="34"/>
      <c r="Y125" s="34"/>
    </row>
    <row r="126" spans="1:25" ht="12.75" hidden="1" customHeight="1" x14ac:dyDescent="0.25">
      <c r="A126" s="243" t="s">
        <v>376</v>
      </c>
      <c r="B126" s="21"/>
      <c r="C126" s="33"/>
      <c r="D126" s="23"/>
      <c r="E126" s="23"/>
      <c r="F126" s="28"/>
      <c r="G126" s="228"/>
      <c r="H126" s="248"/>
      <c r="I126" s="248"/>
      <c r="J126" s="248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</row>
    <row r="127" spans="1:25" ht="15.5" x14ac:dyDescent="0.25">
      <c r="A127" s="243"/>
      <c r="B127" s="209" t="s">
        <v>273</v>
      </c>
      <c r="C127" s="210"/>
      <c r="D127" s="210"/>
      <c r="E127" s="210"/>
      <c r="F127" s="211"/>
      <c r="G127" s="228"/>
      <c r="H127" s="248"/>
      <c r="I127" s="248"/>
      <c r="J127" s="248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</row>
    <row r="128" spans="1:25" ht="13" hidden="1" x14ac:dyDescent="0.25">
      <c r="A128" s="243" t="s">
        <v>376</v>
      </c>
      <c r="B128" s="21" t="s">
        <v>166</v>
      </c>
      <c r="C128" s="26">
        <v>15</v>
      </c>
      <c r="D128" s="36"/>
      <c r="E128" s="36"/>
      <c r="F128" s="27">
        <v>20</v>
      </c>
      <c r="G128" s="228"/>
      <c r="H128" s="248"/>
      <c r="I128" s="248"/>
      <c r="J128" s="248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</row>
    <row r="129" spans="1:25" ht="13" hidden="1" x14ac:dyDescent="0.25">
      <c r="A129" s="243" t="s">
        <v>376</v>
      </c>
      <c r="B129" s="127" t="s">
        <v>344</v>
      </c>
      <c r="C129" s="26"/>
      <c r="D129" s="36"/>
      <c r="E129" s="36"/>
      <c r="F129" s="27">
        <v>5</v>
      </c>
      <c r="G129" s="228"/>
      <c r="H129" s="248"/>
      <c r="I129" s="248"/>
      <c r="J129" s="248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</row>
    <row r="130" spans="1:25" ht="13" x14ac:dyDescent="0.25">
      <c r="A130" s="243"/>
      <c r="B130" s="29" t="s">
        <v>36</v>
      </c>
      <c r="C130" s="30" t="s">
        <v>168</v>
      </c>
      <c r="D130" s="31">
        <f>F130/F22</f>
        <v>0.25</v>
      </c>
      <c r="E130" s="31"/>
      <c r="F130" s="32">
        <f>IF(F131=0,0,F128+(IF(F131=2,F129,0)))</f>
        <v>25</v>
      </c>
      <c r="G130" s="228"/>
      <c r="H130" s="248"/>
      <c r="I130" s="248"/>
      <c r="J130" s="248"/>
      <c r="L130" s="34"/>
      <c r="M130" s="34"/>
      <c r="N130" s="34"/>
      <c r="T130" s="34"/>
      <c r="U130" s="34"/>
      <c r="V130" s="34"/>
      <c r="W130" s="34"/>
      <c r="X130" s="34"/>
      <c r="Y130" s="34"/>
    </row>
    <row r="131" spans="1:25" ht="13" x14ac:dyDescent="0.25">
      <c r="A131" s="243"/>
      <c r="B131" s="21" t="s">
        <v>56</v>
      </c>
      <c r="C131" s="22" t="s">
        <v>53</v>
      </c>
      <c r="D131" s="23"/>
      <c r="E131" s="23"/>
      <c r="F131" s="24">
        <v>2</v>
      </c>
      <c r="G131" s="228"/>
      <c r="H131" s="248"/>
      <c r="I131" s="248"/>
      <c r="J131" s="248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</row>
    <row r="132" spans="1:25" ht="13" hidden="1" x14ac:dyDescent="0.25">
      <c r="A132" s="243" t="s">
        <v>376</v>
      </c>
      <c r="B132" s="127" t="s">
        <v>345</v>
      </c>
      <c r="C132" s="22">
        <v>1</v>
      </c>
      <c r="D132" s="23"/>
      <c r="E132" s="23"/>
      <c r="F132" s="27">
        <v>1</v>
      </c>
      <c r="G132" s="228"/>
      <c r="H132" s="248"/>
      <c r="I132" s="248"/>
      <c r="J132" s="248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</row>
    <row r="133" spans="1:25" ht="12.75" hidden="1" customHeight="1" x14ac:dyDescent="0.25">
      <c r="A133" s="243" t="s">
        <v>376</v>
      </c>
      <c r="B133" s="127" t="s">
        <v>352</v>
      </c>
      <c r="C133" s="60"/>
      <c r="D133" s="36"/>
      <c r="E133" s="36"/>
      <c r="F133" s="187">
        <f>IF(F131=0,0,(IF(F25="YES",F26*F131,0)))</f>
        <v>0.33332000000000001</v>
      </c>
      <c r="G133" s="228"/>
      <c r="H133" s="248"/>
      <c r="I133" s="248"/>
      <c r="J133" s="248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</row>
    <row r="134" spans="1:25" ht="13" x14ac:dyDescent="0.25">
      <c r="A134" s="243"/>
      <c r="B134" s="127" t="s">
        <v>398</v>
      </c>
      <c r="C134" s="33"/>
      <c r="D134" s="23"/>
      <c r="E134" s="23"/>
      <c r="F134" s="118">
        <v>0</v>
      </c>
      <c r="G134" s="228"/>
      <c r="H134" s="248" t="s">
        <v>399</v>
      </c>
      <c r="I134" s="248"/>
      <c r="J134" s="248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</row>
    <row r="135" spans="1:25" ht="12.75" customHeight="1" x14ac:dyDescent="0.25">
      <c r="A135" s="243"/>
      <c r="B135" s="40" t="s">
        <v>46</v>
      </c>
      <c r="C135" s="41" t="s">
        <v>55</v>
      </c>
      <c r="D135" s="42"/>
      <c r="E135" s="42">
        <f>F135</f>
        <v>0.83332000000000006</v>
      </c>
      <c r="F135" s="43">
        <f>((F131*F132)/F28)+F133+F134</f>
        <v>0.83332000000000006</v>
      </c>
      <c r="G135" s="228"/>
      <c r="H135" s="248"/>
      <c r="I135" s="248"/>
      <c r="J135" s="248"/>
      <c r="L135" s="130"/>
      <c r="M135" s="130"/>
      <c r="N135" s="130"/>
      <c r="O135" s="130"/>
      <c r="P135" s="130"/>
      <c r="Q135" s="131"/>
      <c r="R135" s="34"/>
      <c r="S135" s="34"/>
      <c r="T135" s="34"/>
      <c r="U135" s="34"/>
      <c r="V135" s="34"/>
      <c r="W135" s="34"/>
      <c r="X135" s="34"/>
      <c r="Y135" s="34"/>
    </row>
    <row r="136" spans="1:25" ht="12.75" hidden="1" customHeight="1" x14ac:dyDescent="0.25">
      <c r="A136" s="243" t="s">
        <v>376</v>
      </c>
      <c r="B136" s="21"/>
      <c r="C136" s="125"/>
      <c r="D136" s="23"/>
      <c r="E136" s="23"/>
      <c r="F136" s="126"/>
      <c r="G136" s="228"/>
      <c r="H136" s="248"/>
      <c r="I136" s="248"/>
      <c r="J136" s="248"/>
      <c r="L136" s="130"/>
      <c r="M136" s="130"/>
      <c r="N136" s="130"/>
      <c r="O136" s="130"/>
      <c r="P136" s="130"/>
      <c r="Q136" s="131"/>
      <c r="R136" s="34"/>
      <c r="S136" s="34"/>
      <c r="T136" s="34"/>
      <c r="U136" s="34"/>
      <c r="V136" s="34"/>
      <c r="W136" s="34"/>
      <c r="X136" s="34"/>
      <c r="Y136" s="34"/>
    </row>
    <row r="137" spans="1:25" ht="12.75" hidden="1" customHeight="1" x14ac:dyDescent="0.25">
      <c r="A137" s="243" t="s">
        <v>376</v>
      </c>
      <c r="B137" s="21"/>
      <c r="C137" s="33"/>
      <c r="D137" s="23"/>
      <c r="E137" s="23"/>
      <c r="F137" s="28"/>
      <c r="G137" s="228"/>
      <c r="H137" s="248"/>
      <c r="I137" s="248"/>
      <c r="J137" s="248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</row>
    <row r="138" spans="1:25" ht="15.5" x14ac:dyDescent="0.25">
      <c r="A138" s="243"/>
      <c r="B138" s="209" t="s">
        <v>275</v>
      </c>
      <c r="C138" s="210"/>
      <c r="D138" s="210"/>
      <c r="E138" s="210"/>
      <c r="F138" s="211"/>
      <c r="G138" s="228"/>
      <c r="H138" s="248" t="s">
        <v>388</v>
      </c>
      <c r="I138" s="248"/>
      <c r="J138" s="248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</row>
    <row r="139" spans="1:25" ht="24.75" customHeight="1" x14ac:dyDescent="0.25">
      <c r="A139" s="243"/>
      <c r="B139" s="40" t="s">
        <v>109</v>
      </c>
      <c r="C139" s="44" t="s">
        <v>50</v>
      </c>
      <c r="D139" s="42"/>
      <c r="E139" s="42">
        <f>F139</f>
        <v>0</v>
      </c>
      <c r="F139" s="118">
        <v>0</v>
      </c>
      <c r="G139" s="230"/>
      <c r="H139" s="248" t="s">
        <v>389</v>
      </c>
      <c r="I139" s="248"/>
      <c r="J139" s="248"/>
      <c r="L139" s="19"/>
      <c r="M139" s="19"/>
      <c r="N139" s="19"/>
      <c r="O139" s="19"/>
      <c r="P139" s="19"/>
      <c r="Q139" s="19"/>
      <c r="R139" s="34"/>
      <c r="S139" s="34"/>
      <c r="T139" s="34"/>
      <c r="U139" s="34"/>
      <c r="V139" s="34"/>
      <c r="W139" s="34"/>
      <c r="X139" s="34"/>
      <c r="Y139" s="34"/>
    </row>
    <row r="140" spans="1:25" ht="12.75" hidden="1" customHeight="1" x14ac:dyDescent="0.25">
      <c r="A140" s="243" t="s">
        <v>376</v>
      </c>
      <c r="B140" s="21"/>
      <c r="C140" s="33"/>
      <c r="D140" s="23"/>
      <c r="E140" s="23"/>
      <c r="F140" s="28"/>
      <c r="G140" s="230"/>
      <c r="H140" s="248"/>
      <c r="I140" s="248"/>
      <c r="J140" s="248"/>
      <c r="L140" s="19"/>
      <c r="M140" s="19"/>
      <c r="N140" s="19"/>
      <c r="O140" s="19"/>
      <c r="P140" s="19"/>
      <c r="Q140" s="19"/>
      <c r="R140" s="34"/>
      <c r="S140" s="34"/>
      <c r="T140" s="34"/>
      <c r="U140" s="34"/>
      <c r="V140" s="34"/>
      <c r="W140" s="34"/>
      <c r="X140" s="34"/>
      <c r="Y140" s="34"/>
    </row>
    <row r="141" spans="1:25" ht="12.75" hidden="1" customHeight="1" x14ac:dyDescent="0.25">
      <c r="A141" s="243" t="s">
        <v>376</v>
      </c>
      <c r="B141" s="21"/>
      <c r="C141" s="33"/>
      <c r="D141" s="23"/>
      <c r="E141" s="23"/>
      <c r="F141" s="28"/>
      <c r="G141" s="230"/>
      <c r="H141" s="248"/>
      <c r="I141" s="248"/>
      <c r="J141" s="248"/>
      <c r="L141" s="19"/>
      <c r="M141" s="19"/>
      <c r="N141" s="19"/>
      <c r="O141" s="19"/>
      <c r="P141" s="19"/>
      <c r="Q141" s="19"/>
      <c r="R141" s="34"/>
      <c r="S141" s="34"/>
      <c r="T141" s="34"/>
      <c r="U141" s="34"/>
      <c r="V141" s="34"/>
      <c r="W141" s="34"/>
      <c r="X141" s="34"/>
      <c r="Y141" s="34"/>
    </row>
    <row r="142" spans="1:25" ht="15.5" x14ac:dyDescent="0.25">
      <c r="A142" s="243"/>
      <c r="B142" s="209" t="s">
        <v>110</v>
      </c>
      <c r="C142" s="210"/>
      <c r="D142" s="210"/>
      <c r="E142" s="210"/>
      <c r="F142" s="211"/>
      <c r="G142" s="230"/>
      <c r="H142" s="248"/>
      <c r="I142" s="248"/>
      <c r="J142" s="248"/>
      <c r="L142" s="19"/>
      <c r="M142" s="19"/>
      <c r="N142" s="19"/>
      <c r="O142" s="19"/>
      <c r="P142" s="19"/>
      <c r="Q142" s="19"/>
      <c r="R142" s="34"/>
      <c r="S142" s="34"/>
      <c r="T142" s="34"/>
      <c r="U142" s="34"/>
      <c r="V142" s="34"/>
      <c r="W142" s="34"/>
      <c r="X142" s="34"/>
      <c r="Y142" s="34"/>
    </row>
    <row r="143" spans="1:25" ht="13" hidden="1" x14ac:dyDescent="0.25">
      <c r="A143" s="243" t="s">
        <v>376</v>
      </c>
      <c r="B143" s="21"/>
      <c r="C143" s="33"/>
      <c r="D143" s="23"/>
      <c r="E143" s="23"/>
      <c r="F143" s="28"/>
      <c r="G143" s="228"/>
      <c r="H143" s="248"/>
      <c r="I143" s="248"/>
      <c r="J143" s="248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</row>
    <row r="144" spans="1:25" ht="13" hidden="1" x14ac:dyDescent="0.25">
      <c r="A144" s="243" t="s">
        <v>376</v>
      </c>
      <c r="B144" s="21" t="s">
        <v>67</v>
      </c>
      <c r="C144" s="33" t="s">
        <v>68</v>
      </c>
      <c r="D144" s="23"/>
      <c r="E144" s="23"/>
      <c r="F144" s="28">
        <f>F87</f>
        <v>56</v>
      </c>
      <c r="G144" s="228"/>
      <c r="H144" s="248"/>
      <c r="I144" s="248"/>
      <c r="J144" s="248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</row>
    <row r="145" spans="1:25" ht="13" hidden="1" x14ac:dyDescent="0.25">
      <c r="A145" s="243" t="s">
        <v>376</v>
      </c>
      <c r="B145" s="21" t="s">
        <v>111</v>
      </c>
      <c r="C145" s="62">
        <v>1</v>
      </c>
      <c r="D145" s="38"/>
      <c r="E145" s="38"/>
      <c r="F145" s="63">
        <v>1</v>
      </c>
      <c r="G145" s="228"/>
      <c r="H145" s="248"/>
      <c r="I145" s="248"/>
      <c r="J145" s="248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</row>
    <row r="146" spans="1:25" ht="13" hidden="1" x14ac:dyDescent="0.25">
      <c r="A146" s="243" t="s">
        <v>376</v>
      </c>
      <c r="B146" s="21" t="s">
        <v>112</v>
      </c>
      <c r="C146" s="64">
        <v>5.0000000000000001E-4</v>
      </c>
      <c r="D146" s="38"/>
      <c r="E146" s="38"/>
      <c r="F146" s="65">
        <v>5.0000000000000001E-4</v>
      </c>
      <c r="G146" s="228"/>
      <c r="H146" s="248"/>
      <c r="I146" s="248"/>
      <c r="J146" s="248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</row>
    <row r="147" spans="1:25" ht="13" x14ac:dyDescent="0.25">
      <c r="A147" s="243"/>
      <c r="B147" s="40" t="s">
        <v>46</v>
      </c>
      <c r="C147" s="41" t="s">
        <v>113</v>
      </c>
      <c r="D147" s="42"/>
      <c r="E147" s="42"/>
      <c r="F147" s="43">
        <f>F144*F145*F146</f>
        <v>2.8000000000000001E-2</v>
      </c>
      <c r="G147" s="228"/>
      <c r="H147" s="248"/>
      <c r="I147" s="248"/>
      <c r="J147" s="248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</row>
    <row r="148" spans="1:25" ht="15.5" x14ac:dyDescent="0.25">
      <c r="A148" s="243"/>
      <c r="B148" s="209" t="s">
        <v>446</v>
      </c>
      <c r="C148" s="210"/>
      <c r="D148" s="210"/>
      <c r="E148" s="210"/>
      <c r="F148" s="211"/>
      <c r="G148" s="228"/>
      <c r="H148" s="248"/>
      <c r="I148" s="248"/>
      <c r="J148" s="248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</row>
    <row r="149" spans="1:25" ht="13" hidden="1" x14ac:dyDescent="0.25">
      <c r="A149" s="243" t="s">
        <v>376</v>
      </c>
      <c r="B149" s="21" t="s">
        <v>166</v>
      </c>
      <c r="C149" s="26">
        <v>15</v>
      </c>
      <c r="D149" s="36"/>
      <c r="E149" s="36"/>
      <c r="F149" s="27">
        <v>15</v>
      </c>
      <c r="G149" s="228"/>
      <c r="H149" s="248"/>
      <c r="I149" s="248"/>
      <c r="J149" s="248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</row>
    <row r="150" spans="1:25" ht="13" x14ac:dyDescent="0.25">
      <c r="A150" s="243"/>
      <c r="B150" s="29" t="s">
        <v>36</v>
      </c>
      <c r="C150" s="30" t="s">
        <v>168</v>
      </c>
      <c r="D150" s="31">
        <f>F150/F22</f>
        <v>0</v>
      </c>
      <c r="E150" s="31"/>
      <c r="F150" s="32">
        <f>IF(F153=0,0,F149)</f>
        <v>0</v>
      </c>
      <c r="G150" s="228"/>
      <c r="H150" s="248"/>
      <c r="I150" s="248"/>
      <c r="J150" s="248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</row>
    <row r="151" spans="1:25" ht="13" hidden="1" x14ac:dyDescent="0.25">
      <c r="A151" s="243" t="s">
        <v>376</v>
      </c>
      <c r="B151" s="21"/>
      <c r="C151" s="33"/>
      <c r="D151" s="23"/>
      <c r="E151" s="23"/>
      <c r="F151" s="28"/>
      <c r="G151" s="228"/>
      <c r="H151" s="248"/>
      <c r="I151" s="248"/>
      <c r="J151" s="248"/>
      <c r="L151" s="66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</row>
    <row r="152" spans="1:25" ht="13" x14ac:dyDescent="0.25">
      <c r="A152" s="243"/>
      <c r="B152" s="127" t="s">
        <v>292</v>
      </c>
      <c r="C152" s="33"/>
      <c r="D152" s="23"/>
      <c r="E152" s="23"/>
      <c r="F152" s="118">
        <v>0</v>
      </c>
      <c r="G152" s="228"/>
      <c r="H152" s="248" t="s">
        <v>390</v>
      </c>
      <c r="I152" s="248"/>
      <c r="J152" s="248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</row>
    <row r="153" spans="1:25" ht="13" x14ac:dyDescent="0.25">
      <c r="A153" s="243"/>
      <c r="B153" s="21" t="s">
        <v>114</v>
      </c>
      <c r="C153" s="22" t="s">
        <v>115</v>
      </c>
      <c r="D153" s="23"/>
      <c r="E153" s="23"/>
      <c r="F153" s="24">
        <v>0</v>
      </c>
      <c r="G153" s="228"/>
      <c r="H153" s="248"/>
      <c r="I153" s="248"/>
      <c r="J153" s="248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</row>
    <row r="154" spans="1:25" ht="13" hidden="1" x14ac:dyDescent="0.25">
      <c r="A154" s="243" t="s">
        <v>376</v>
      </c>
      <c r="B154" s="21" t="s">
        <v>116</v>
      </c>
      <c r="C154" s="37">
        <v>0.2</v>
      </c>
      <c r="D154" s="38"/>
      <c r="E154" s="38"/>
      <c r="F154" s="39">
        <v>0.2</v>
      </c>
      <c r="G154" s="228"/>
      <c r="H154" s="248"/>
      <c r="I154" s="248"/>
      <c r="J154" s="248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</row>
    <row r="155" spans="1:25" ht="13" hidden="1" x14ac:dyDescent="0.25">
      <c r="A155" s="243" t="s">
        <v>376</v>
      </c>
      <c r="B155" s="21" t="s">
        <v>117</v>
      </c>
      <c r="C155" s="37">
        <v>0.5</v>
      </c>
      <c r="D155" s="38"/>
      <c r="E155" s="38"/>
      <c r="F155" s="39">
        <v>0.5</v>
      </c>
      <c r="G155" s="228"/>
      <c r="H155" s="248"/>
      <c r="I155" s="248"/>
      <c r="J155" s="248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</row>
    <row r="156" spans="1:25" ht="13" hidden="1" x14ac:dyDescent="0.25">
      <c r="A156" s="243" t="s">
        <v>376</v>
      </c>
      <c r="B156" s="21" t="s">
        <v>75</v>
      </c>
      <c r="C156" s="33" t="s">
        <v>76</v>
      </c>
      <c r="D156" s="23"/>
      <c r="E156" s="23"/>
      <c r="F156" s="28">
        <f>F28</f>
        <v>4</v>
      </c>
      <c r="G156" s="228"/>
      <c r="H156" s="248"/>
      <c r="I156" s="248"/>
      <c r="J156" s="248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</row>
    <row r="157" spans="1:25" ht="13" hidden="1" x14ac:dyDescent="0.25">
      <c r="A157" s="243" t="s">
        <v>376</v>
      </c>
      <c r="B157" s="21"/>
      <c r="C157" s="33"/>
      <c r="D157" s="23"/>
      <c r="E157" s="23"/>
      <c r="F157" s="28"/>
      <c r="G157" s="228"/>
      <c r="H157" s="248"/>
      <c r="I157" s="248"/>
      <c r="J157" s="248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</row>
    <row r="158" spans="1:25" ht="13" x14ac:dyDescent="0.25">
      <c r="A158" s="243"/>
      <c r="B158" s="40" t="s">
        <v>46</v>
      </c>
      <c r="C158" s="41" t="s">
        <v>118</v>
      </c>
      <c r="D158" s="42"/>
      <c r="E158" s="42">
        <f>F158</f>
        <v>0</v>
      </c>
      <c r="F158" s="67">
        <f>IF(F153=0,0,F153*F154+F155/F156+F152)</f>
        <v>0</v>
      </c>
      <c r="G158" s="228"/>
      <c r="H158" s="248"/>
      <c r="I158" s="248"/>
      <c r="J158" s="248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</row>
    <row r="159" spans="1:25" ht="13" hidden="1" x14ac:dyDescent="0.25">
      <c r="A159" s="243" t="s">
        <v>376</v>
      </c>
      <c r="B159" s="21"/>
      <c r="C159" s="33"/>
      <c r="D159" s="23"/>
      <c r="E159" s="23"/>
      <c r="F159" s="28"/>
      <c r="G159" s="228"/>
      <c r="H159" s="248"/>
      <c r="I159" s="248"/>
      <c r="J159" s="248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</row>
    <row r="160" spans="1:25" ht="13" hidden="1" x14ac:dyDescent="0.25">
      <c r="A160" s="243" t="s">
        <v>376</v>
      </c>
      <c r="B160" s="21"/>
      <c r="C160" s="33"/>
      <c r="D160" s="23"/>
      <c r="E160" s="23"/>
      <c r="F160" s="28"/>
      <c r="G160" s="228"/>
      <c r="H160" s="248"/>
      <c r="I160" s="248"/>
      <c r="J160" s="248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</row>
    <row r="161" spans="1:25" ht="15.5" x14ac:dyDescent="0.25">
      <c r="A161" s="243"/>
      <c r="B161" s="209" t="s">
        <v>244</v>
      </c>
      <c r="C161" s="210"/>
      <c r="D161" s="210"/>
      <c r="E161" s="210"/>
      <c r="F161" s="211"/>
      <c r="G161" s="228"/>
      <c r="H161" s="248"/>
      <c r="I161" s="248"/>
      <c r="J161" s="248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</row>
    <row r="162" spans="1:25" ht="13" hidden="1" x14ac:dyDescent="0.25">
      <c r="A162" s="243" t="s">
        <v>376</v>
      </c>
      <c r="B162" s="21" t="s">
        <v>166</v>
      </c>
      <c r="C162" s="26">
        <v>15</v>
      </c>
      <c r="D162" s="36"/>
      <c r="E162" s="36"/>
      <c r="F162" s="27">
        <v>15</v>
      </c>
      <c r="G162" s="228"/>
      <c r="H162" s="248"/>
      <c r="I162" s="248"/>
      <c r="J162" s="248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</row>
    <row r="163" spans="1:25" ht="13" x14ac:dyDescent="0.25">
      <c r="A163" s="243"/>
      <c r="B163" s="29" t="s">
        <v>36</v>
      </c>
      <c r="C163" s="30" t="s">
        <v>168</v>
      </c>
      <c r="D163" s="31">
        <f>F163/F22</f>
        <v>0</v>
      </c>
      <c r="E163" s="31"/>
      <c r="F163" s="32">
        <f>IF(F165=0,0,F162)</f>
        <v>0</v>
      </c>
      <c r="G163" s="228"/>
      <c r="H163" s="248"/>
      <c r="I163" s="248"/>
      <c r="J163" s="248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</row>
    <row r="164" spans="1:25" ht="13" hidden="1" x14ac:dyDescent="0.25">
      <c r="A164" s="243" t="s">
        <v>376</v>
      </c>
      <c r="B164" s="21"/>
      <c r="C164" s="33"/>
      <c r="D164" s="23"/>
      <c r="E164" s="23"/>
      <c r="F164" s="28"/>
      <c r="G164" s="228"/>
      <c r="H164" s="248"/>
      <c r="I164" s="248"/>
      <c r="J164" s="248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</row>
    <row r="165" spans="1:25" ht="13" x14ac:dyDescent="0.25">
      <c r="A165" s="243"/>
      <c r="B165" s="21" t="s">
        <v>245</v>
      </c>
      <c r="C165" s="22" t="s">
        <v>179</v>
      </c>
      <c r="D165" s="23"/>
      <c r="E165" s="23"/>
      <c r="F165" s="24">
        <v>0</v>
      </c>
      <c r="G165" s="228"/>
      <c r="H165" s="248"/>
      <c r="I165" s="248"/>
      <c r="J165" s="248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</row>
    <row r="166" spans="1:25" ht="13" x14ac:dyDescent="0.25">
      <c r="A166" s="243"/>
      <c r="B166" s="21" t="s">
        <v>246</v>
      </c>
      <c r="C166" s="33">
        <v>0.4</v>
      </c>
      <c r="D166" s="23"/>
      <c r="E166" s="23"/>
      <c r="F166" s="121">
        <v>0</v>
      </c>
      <c r="G166" s="228"/>
      <c r="H166" s="248"/>
      <c r="I166" s="248"/>
      <c r="J166" s="248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</row>
    <row r="167" spans="1:25" ht="13" x14ac:dyDescent="0.25">
      <c r="A167" s="243"/>
      <c r="B167" s="40" t="s">
        <v>46</v>
      </c>
      <c r="C167" s="41" t="s">
        <v>181</v>
      </c>
      <c r="D167" s="42"/>
      <c r="E167" s="42">
        <f>F167</f>
        <v>0</v>
      </c>
      <c r="F167" s="43">
        <f>F165*F166</f>
        <v>0</v>
      </c>
      <c r="G167" s="228"/>
      <c r="H167" s="248"/>
      <c r="I167" s="248"/>
      <c r="J167" s="248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</row>
    <row r="168" spans="1:25" ht="15.5" x14ac:dyDescent="0.25">
      <c r="A168" s="243"/>
      <c r="B168" s="209" t="s">
        <v>233</v>
      </c>
      <c r="C168" s="210"/>
      <c r="D168" s="210"/>
      <c r="E168" s="210"/>
      <c r="F168" s="211"/>
      <c r="G168" s="228"/>
      <c r="H168" s="248"/>
      <c r="I168" s="248"/>
      <c r="J168" s="248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</row>
    <row r="169" spans="1:25" ht="13" hidden="1" x14ac:dyDescent="0.25">
      <c r="A169" s="243" t="s">
        <v>376</v>
      </c>
      <c r="B169" s="21"/>
      <c r="C169" s="33"/>
      <c r="D169" s="23"/>
      <c r="E169" s="23"/>
      <c r="F169" s="28"/>
      <c r="G169" s="228"/>
      <c r="H169" s="248"/>
      <c r="I169" s="248"/>
      <c r="J169" s="248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</row>
    <row r="170" spans="1:25" ht="13" hidden="1" x14ac:dyDescent="0.25">
      <c r="A170" s="243" t="s">
        <v>376</v>
      </c>
      <c r="B170" s="21" t="s">
        <v>120</v>
      </c>
      <c r="C170" s="37">
        <v>30</v>
      </c>
      <c r="D170" s="38"/>
      <c r="E170" s="38"/>
      <c r="F170" s="39">
        <v>30</v>
      </c>
      <c r="G170" s="228"/>
      <c r="H170" s="248"/>
      <c r="I170" s="248"/>
      <c r="J170" s="248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</row>
    <row r="171" spans="1:25" ht="13" x14ac:dyDescent="0.25">
      <c r="A171" s="243"/>
      <c r="B171" s="29" t="s">
        <v>36</v>
      </c>
      <c r="C171" s="30" t="s">
        <v>121</v>
      </c>
      <c r="D171" s="31">
        <f>F171/F22</f>
        <v>0</v>
      </c>
      <c r="E171" s="31"/>
      <c r="F171" s="32">
        <f>IF(F172=0,0,F170)</f>
        <v>0</v>
      </c>
      <c r="G171" s="228"/>
      <c r="H171" s="248"/>
      <c r="I171" s="248"/>
      <c r="J171" s="248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</row>
    <row r="172" spans="1:25" ht="25" x14ac:dyDescent="0.25">
      <c r="A172" s="243"/>
      <c r="B172" s="21" t="s">
        <v>236</v>
      </c>
      <c r="C172" s="33" t="s">
        <v>237</v>
      </c>
      <c r="D172" s="23"/>
      <c r="E172" s="23"/>
      <c r="F172" s="24">
        <v>0</v>
      </c>
      <c r="G172" s="228"/>
      <c r="H172" s="248"/>
      <c r="I172" s="248"/>
      <c r="J172" s="248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</row>
    <row r="173" spans="1:25" ht="13" x14ac:dyDescent="0.25">
      <c r="A173" s="243"/>
      <c r="B173" s="127" t="s">
        <v>429</v>
      </c>
      <c r="C173" s="26" t="s">
        <v>234</v>
      </c>
      <c r="D173" s="36"/>
      <c r="E173" s="36"/>
      <c r="F173" s="258">
        <v>0</v>
      </c>
      <c r="G173" s="228"/>
      <c r="H173" s="248" t="s">
        <v>411</v>
      </c>
      <c r="I173" s="248"/>
      <c r="J173" s="248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</row>
    <row r="174" spans="1:25" ht="13" x14ac:dyDescent="0.25">
      <c r="A174" s="243"/>
      <c r="B174" s="127" t="s">
        <v>430</v>
      </c>
      <c r="C174" s="33" t="s">
        <v>76</v>
      </c>
      <c r="D174" s="23"/>
      <c r="E174" s="23"/>
      <c r="F174" s="257">
        <v>0</v>
      </c>
      <c r="G174" s="228"/>
      <c r="H174" s="248" t="s">
        <v>408</v>
      </c>
      <c r="I174" s="248"/>
      <c r="J174" s="248"/>
      <c r="L174" s="68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</row>
    <row r="175" spans="1:25" ht="13" x14ac:dyDescent="0.25">
      <c r="A175" s="243"/>
      <c r="B175" s="40" t="s">
        <v>46</v>
      </c>
      <c r="C175" s="41" t="s">
        <v>235</v>
      </c>
      <c r="D175" s="42"/>
      <c r="E175" s="42">
        <f>F175</f>
        <v>0</v>
      </c>
      <c r="F175" s="43">
        <f>IF(F172=0,0,F173/F172/F174)</f>
        <v>0</v>
      </c>
      <c r="G175" s="228"/>
      <c r="H175" s="248"/>
      <c r="I175" s="248"/>
      <c r="J175" s="248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</row>
    <row r="176" spans="1:25" ht="15.5" x14ac:dyDescent="0.25">
      <c r="A176" s="243"/>
      <c r="B176" s="209" t="s">
        <v>119</v>
      </c>
      <c r="C176" s="210"/>
      <c r="D176" s="210"/>
      <c r="E176" s="210"/>
      <c r="F176" s="211"/>
      <c r="G176" s="228"/>
      <c r="H176" s="248"/>
      <c r="I176" s="248"/>
      <c r="J176" s="248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</row>
    <row r="177" spans="1:25" ht="13" hidden="1" x14ac:dyDescent="0.25">
      <c r="A177" s="243" t="s">
        <v>376</v>
      </c>
      <c r="B177" s="21"/>
      <c r="C177" s="33"/>
      <c r="D177" s="23"/>
      <c r="E177" s="23"/>
      <c r="F177" s="28"/>
      <c r="G177" s="228"/>
      <c r="H177" s="248"/>
      <c r="I177" s="248"/>
      <c r="J177" s="248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</row>
    <row r="178" spans="1:25" ht="13" hidden="1" x14ac:dyDescent="0.25">
      <c r="A178" s="243" t="s">
        <v>376</v>
      </c>
      <c r="B178" s="21" t="s">
        <v>120</v>
      </c>
      <c r="C178" s="37">
        <v>30</v>
      </c>
      <c r="D178" s="38"/>
      <c r="E178" s="38"/>
      <c r="F178" s="39">
        <v>30</v>
      </c>
      <c r="G178" s="228"/>
      <c r="H178" s="248"/>
      <c r="I178" s="248"/>
      <c r="J178" s="248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</row>
    <row r="179" spans="1:25" ht="13" x14ac:dyDescent="0.25">
      <c r="A179" s="243"/>
      <c r="B179" s="29" t="s">
        <v>36</v>
      </c>
      <c r="C179" s="30" t="s">
        <v>121</v>
      </c>
      <c r="D179" s="31">
        <f>F179/F22</f>
        <v>0</v>
      </c>
      <c r="E179" s="31"/>
      <c r="F179" s="32">
        <f>IF(F180=0,0,F178)</f>
        <v>0</v>
      </c>
      <c r="G179" s="228"/>
      <c r="H179" s="248"/>
      <c r="I179" s="248"/>
      <c r="J179" s="248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</row>
    <row r="180" spans="1:25" ht="13" x14ac:dyDescent="0.25">
      <c r="A180" s="243"/>
      <c r="B180" s="21" t="s">
        <v>122</v>
      </c>
      <c r="C180" s="33" t="s">
        <v>226</v>
      </c>
      <c r="D180" s="23"/>
      <c r="E180" s="23"/>
      <c r="F180" s="24">
        <v>0</v>
      </c>
      <c r="G180" s="228"/>
      <c r="H180" s="248"/>
      <c r="I180" s="248"/>
      <c r="J180" s="248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</row>
    <row r="181" spans="1:25" ht="13" hidden="1" x14ac:dyDescent="0.25">
      <c r="A181" s="243" t="s">
        <v>376</v>
      </c>
      <c r="B181" s="21" t="s">
        <v>123</v>
      </c>
      <c r="C181" s="26" t="s">
        <v>124</v>
      </c>
      <c r="D181" s="36"/>
      <c r="E181" s="36"/>
      <c r="F181" s="27">
        <v>6</v>
      </c>
      <c r="G181" s="228"/>
      <c r="H181" s="248"/>
      <c r="I181" s="248"/>
      <c r="J181" s="248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</row>
    <row r="182" spans="1:25" ht="13" x14ac:dyDescent="0.25">
      <c r="A182" s="243"/>
      <c r="B182" s="127" t="s">
        <v>430</v>
      </c>
      <c r="C182" s="33" t="s">
        <v>76</v>
      </c>
      <c r="D182" s="23"/>
      <c r="E182" s="23"/>
      <c r="F182" s="257">
        <v>0</v>
      </c>
      <c r="G182" s="228"/>
      <c r="H182" s="248" t="s">
        <v>409</v>
      </c>
      <c r="I182" s="248"/>
      <c r="J182" s="248"/>
      <c r="L182" s="68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</row>
    <row r="183" spans="1:25" ht="13" x14ac:dyDescent="0.25">
      <c r="A183" s="243"/>
      <c r="B183" s="40" t="s">
        <v>46</v>
      </c>
      <c r="C183" s="41" t="s">
        <v>125</v>
      </c>
      <c r="D183" s="42"/>
      <c r="E183" s="42">
        <f>F183</f>
        <v>0</v>
      </c>
      <c r="F183" s="43">
        <f>IF(F180=0,0,F181/F180/F182)</f>
        <v>0</v>
      </c>
      <c r="G183" s="228"/>
      <c r="H183" s="248"/>
      <c r="I183" s="248"/>
      <c r="J183" s="248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</row>
    <row r="184" spans="1:25" ht="13" hidden="1" x14ac:dyDescent="0.25">
      <c r="A184" s="243" t="s">
        <v>376</v>
      </c>
      <c r="B184" s="21"/>
      <c r="C184" s="33"/>
      <c r="D184" s="23"/>
      <c r="E184" s="23"/>
      <c r="F184" s="28"/>
      <c r="G184" s="228"/>
      <c r="H184" s="249"/>
      <c r="I184" s="249"/>
      <c r="J184" s="249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</row>
    <row r="185" spans="1:25" ht="13" hidden="1" x14ac:dyDescent="0.25">
      <c r="A185" s="243" t="s">
        <v>376</v>
      </c>
      <c r="B185" s="21"/>
      <c r="C185" s="33"/>
      <c r="D185" s="23"/>
      <c r="E185" s="23"/>
      <c r="F185" s="28"/>
      <c r="G185" s="228"/>
      <c r="H185" s="249"/>
      <c r="I185" s="249"/>
      <c r="J185" s="249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</row>
    <row r="186" spans="1:25" ht="15.5" x14ac:dyDescent="0.25">
      <c r="A186" s="243"/>
      <c r="B186" s="209" t="s">
        <v>294</v>
      </c>
      <c r="C186" s="210"/>
      <c r="D186" s="210"/>
      <c r="E186" s="210"/>
      <c r="F186" s="211"/>
      <c r="G186" s="228"/>
      <c r="H186" s="249"/>
      <c r="I186" s="249"/>
      <c r="J186" s="249"/>
      <c r="K186" s="242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</row>
    <row r="187" spans="1:25" ht="13" hidden="1" x14ac:dyDescent="0.25">
      <c r="A187" s="243" t="s">
        <v>376</v>
      </c>
      <c r="B187" s="69"/>
      <c r="C187" s="33"/>
      <c r="D187" s="23"/>
      <c r="E187" s="23"/>
      <c r="F187" s="28"/>
      <c r="G187" s="228"/>
      <c r="H187" s="249"/>
      <c r="I187" s="249"/>
      <c r="J187" s="249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</row>
    <row r="188" spans="1:25" ht="13.5" thickBot="1" x14ac:dyDescent="0.3">
      <c r="A188" s="243"/>
      <c r="B188" s="21" t="s">
        <v>126</v>
      </c>
      <c r="C188" s="22" t="s">
        <v>127</v>
      </c>
      <c r="D188" s="23"/>
      <c r="E188" s="23"/>
      <c r="F188" s="70">
        <v>0</v>
      </c>
      <c r="G188" s="228"/>
      <c r="H188" s="249"/>
      <c r="I188" s="249"/>
      <c r="J188" s="249"/>
      <c r="K188" s="242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</row>
    <row r="189" spans="1:25" ht="28.5" customHeight="1" thickBot="1" x14ac:dyDescent="0.3">
      <c r="A189" s="243"/>
      <c r="B189" s="295" t="s">
        <v>128</v>
      </c>
      <c r="C189" s="296"/>
      <c r="D189" s="71"/>
      <c r="E189" s="71"/>
      <c r="F189" s="72" t="s">
        <v>129</v>
      </c>
      <c r="G189" s="231"/>
      <c r="H189" s="250"/>
      <c r="I189" s="250"/>
      <c r="J189" s="250"/>
      <c r="K189" s="192" t="s">
        <v>7</v>
      </c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</row>
    <row r="190" spans="1:25" ht="25.5" thickBot="1" x14ac:dyDescent="0.3">
      <c r="A190" s="243"/>
      <c r="B190" s="295" t="s">
        <v>229</v>
      </c>
      <c r="C190" s="296"/>
      <c r="D190" s="73"/>
      <c r="E190" s="73"/>
      <c r="F190" s="72" t="s">
        <v>232</v>
      </c>
      <c r="G190" s="231"/>
      <c r="H190" s="250"/>
      <c r="I190" s="250"/>
      <c r="J190" s="250"/>
      <c r="K190" s="192" t="s">
        <v>7</v>
      </c>
      <c r="L190" s="19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</row>
    <row r="191" spans="1:25" ht="13" hidden="1" x14ac:dyDescent="0.25">
      <c r="A191" s="243" t="s">
        <v>376</v>
      </c>
      <c r="B191" s="21"/>
      <c r="C191" s="33"/>
      <c r="D191" s="73"/>
      <c r="E191" s="73"/>
      <c r="F191" s="74">
        <f>E443</f>
        <v>0</v>
      </c>
      <c r="G191" s="228"/>
      <c r="H191" s="249"/>
      <c r="I191" s="249"/>
      <c r="J191" s="249"/>
      <c r="L191" s="19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</row>
    <row r="192" spans="1:25" ht="13" hidden="1" x14ac:dyDescent="0.25">
      <c r="A192" s="243" t="s">
        <v>376</v>
      </c>
      <c r="B192" s="21"/>
      <c r="C192" s="33"/>
      <c r="D192" s="73"/>
      <c r="E192" s="73"/>
      <c r="F192" s="75">
        <f>E450</f>
        <v>1</v>
      </c>
      <c r="G192" s="228"/>
      <c r="H192" s="249"/>
      <c r="I192" s="249"/>
      <c r="J192" s="249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</row>
    <row r="193" spans="1:25" ht="25" hidden="1" x14ac:dyDescent="0.25">
      <c r="A193" s="243" t="s">
        <v>376</v>
      </c>
      <c r="B193" s="21" t="s">
        <v>130</v>
      </c>
      <c r="C193" s="33" t="s">
        <v>131</v>
      </c>
      <c r="D193" s="38"/>
      <c r="E193" s="38"/>
      <c r="F193" s="76">
        <f>IF(F191=1,(F89+F90)*2,0)</f>
        <v>0</v>
      </c>
      <c r="G193" s="228"/>
      <c r="H193" s="249"/>
      <c r="I193" s="249"/>
      <c r="J193" s="249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</row>
    <row r="194" spans="1:25" ht="13" hidden="1" x14ac:dyDescent="0.25">
      <c r="A194" s="243" t="s">
        <v>376</v>
      </c>
      <c r="B194" s="21" t="s">
        <v>132</v>
      </c>
      <c r="C194" s="62">
        <v>0.2</v>
      </c>
      <c r="D194" s="38"/>
      <c r="E194" s="38"/>
      <c r="F194" s="63">
        <v>0.2</v>
      </c>
      <c r="G194" s="228"/>
      <c r="H194" s="249"/>
      <c r="I194" s="249"/>
      <c r="J194" s="249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</row>
    <row r="195" spans="1:25" ht="13" hidden="1" x14ac:dyDescent="0.25">
      <c r="A195" s="243" t="s">
        <v>376</v>
      </c>
      <c r="B195" s="127" t="s">
        <v>309</v>
      </c>
      <c r="C195" s="77">
        <v>0.1</v>
      </c>
      <c r="D195" s="38"/>
      <c r="E195" s="38"/>
      <c r="F195" s="78">
        <v>0.1</v>
      </c>
      <c r="G195" s="228"/>
      <c r="H195" s="249"/>
      <c r="I195" s="249"/>
      <c r="J195" s="249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</row>
    <row r="196" spans="1:25" ht="13" hidden="1" x14ac:dyDescent="0.25">
      <c r="A196" s="243" t="s">
        <v>376</v>
      </c>
      <c r="B196" s="153" t="s">
        <v>310</v>
      </c>
      <c r="C196" s="164">
        <v>0.2</v>
      </c>
      <c r="D196" s="155"/>
      <c r="E196" s="155"/>
      <c r="F196" s="165">
        <v>0.2</v>
      </c>
      <c r="G196" s="228"/>
      <c r="H196" s="249"/>
      <c r="I196" s="249"/>
      <c r="J196" s="249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</row>
    <row r="197" spans="1:25" ht="13" x14ac:dyDescent="0.25">
      <c r="A197" s="243"/>
      <c r="B197" s="144" t="s">
        <v>311</v>
      </c>
      <c r="C197" s="44"/>
      <c r="D197" s="42"/>
      <c r="E197" s="42">
        <f>IF(F23="Class 2",F197,0)</f>
        <v>0</v>
      </c>
      <c r="F197" s="43">
        <f>IF(F188=0,0,0.2+F192*(F188+F193)*F194*F195)</f>
        <v>0</v>
      </c>
      <c r="G197" s="228"/>
      <c r="H197" s="249"/>
      <c r="I197" s="249"/>
      <c r="J197" s="249"/>
      <c r="K197" s="242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</row>
    <row r="198" spans="1:25" ht="13" x14ac:dyDescent="0.25">
      <c r="A198" s="243"/>
      <c r="B198" s="147" t="s">
        <v>312</v>
      </c>
      <c r="C198" s="148"/>
      <c r="D198" s="149"/>
      <c r="E198" s="149">
        <f>IF(F23="Class 3",F198,0)</f>
        <v>0</v>
      </c>
      <c r="F198" s="150">
        <f>IF(F188=0,0,0.2+F192*(F188+F193)*F194*F196)</f>
        <v>0</v>
      </c>
      <c r="G198" s="228"/>
      <c r="H198" s="249"/>
      <c r="I198" s="249"/>
      <c r="J198" s="249"/>
      <c r="K198" s="242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</row>
    <row r="199" spans="1:25" ht="13" hidden="1" x14ac:dyDescent="0.25">
      <c r="A199" s="243" t="s">
        <v>376</v>
      </c>
      <c r="B199" s="21"/>
      <c r="C199" s="33"/>
      <c r="D199" s="23"/>
      <c r="E199" s="23"/>
      <c r="F199" s="28"/>
      <c r="G199" s="228"/>
      <c r="H199" s="249"/>
      <c r="I199" s="249"/>
      <c r="J199" s="249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</row>
    <row r="200" spans="1:25" ht="15.5" x14ac:dyDescent="0.25">
      <c r="A200" s="243"/>
      <c r="B200" s="209" t="s">
        <v>293</v>
      </c>
      <c r="C200" s="210"/>
      <c r="D200" s="210"/>
      <c r="E200" s="210"/>
      <c r="F200" s="211"/>
      <c r="G200" s="228"/>
      <c r="H200" s="248"/>
      <c r="I200" s="248"/>
      <c r="J200" s="248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</row>
    <row r="201" spans="1:25" ht="13" hidden="1" x14ac:dyDescent="0.25">
      <c r="A201" s="243" t="s">
        <v>376</v>
      </c>
      <c r="B201" s="69"/>
      <c r="C201" s="33"/>
      <c r="D201" s="23"/>
      <c r="E201" s="23"/>
      <c r="F201" s="28"/>
      <c r="G201" s="228"/>
      <c r="H201" s="248"/>
      <c r="I201" s="248"/>
      <c r="J201" s="248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</row>
    <row r="202" spans="1:25" ht="13" hidden="1" x14ac:dyDescent="0.25">
      <c r="A202" s="243" t="s">
        <v>376</v>
      </c>
      <c r="B202" s="21" t="s">
        <v>133</v>
      </c>
      <c r="C202" s="37">
        <v>1.4999999999999999E-2</v>
      </c>
      <c r="D202" s="38"/>
      <c r="E202" s="38"/>
      <c r="F202" s="39">
        <v>1.4999999999999999E-2</v>
      </c>
      <c r="G202" s="228"/>
      <c r="H202" s="248"/>
      <c r="I202" s="248"/>
      <c r="J202" s="248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</row>
    <row r="203" spans="1:25" ht="12.75" hidden="1" customHeight="1" x14ac:dyDescent="0.25">
      <c r="A203" s="243" t="s">
        <v>376</v>
      </c>
      <c r="B203" s="127" t="s">
        <v>352</v>
      </c>
      <c r="C203" s="60"/>
      <c r="D203" s="36"/>
      <c r="E203" s="36"/>
      <c r="F203" s="187">
        <f>IF(AND(F172=0,F180=0),0,(IF(F25="YES",F26,0)))</f>
        <v>0</v>
      </c>
      <c r="G203" s="228"/>
      <c r="H203" s="248"/>
      <c r="I203" s="248"/>
      <c r="J203" s="248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</row>
    <row r="204" spans="1:25" ht="13" x14ac:dyDescent="0.25">
      <c r="A204" s="243"/>
      <c r="B204" s="127" t="s">
        <v>400</v>
      </c>
      <c r="C204" s="33"/>
      <c r="D204" s="23"/>
      <c r="E204" s="23"/>
      <c r="F204" s="118">
        <v>0</v>
      </c>
      <c r="G204" s="228"/>
      <c r="H204" s="248" t="s">
        <v>401</v>
      </c>
      <c r="I204" s="248"/>
      <c r="J204" s="248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</row>
    <row r="205" spans="1:25" ht="13" x14ac:dyDescent="0.25">
      <c r="A205" s="243"/>
      <c r="B205" s="40" t="s">
        <v>46</v>
      </c>
      <c r="C205" s="41" t="s">
        <v>134</v>
      </c>
      <c r="D205" s="42"/>
      <c r="E205" s="42">
        <f>F205</f>
        <v>0</v>
      </c>
      <c r="F205" s="43">
        <f>IF(AND(F172=0,F180=0),0,F202*(F188+F193)+F203+F204)</f>
        <v>0</v>
      </c>
      <c r="G205" s="228"/>
      <c r="H205" s="248"/>
      <c r="I205" s="248"/>
      <c r="J205" s="248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</row>
    <row r="206" spans="1:25" ht="13" hidden="1" x14ac:dyDescent="0.25">
      <c r="A206" s="243" t="s">
        <v>376</v>
      </c>
      <c r="B206" s="21"/>
      <c r="C206" s="33"/>
      <c r="D206" s="23"/>
      <c r="E206" s="23"/>
      <c r="F206" s="28"/>
      <c r="G206" s="228"/>
      <c r="H206" s="248"/>
      <c r="I206" s="248"/>
      <c r="J206" s="248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</row>
    <row r="207" spans="1:25" ht="31" x14ac:dyDescent="0.25">
      <c r="A207" s="243"/>
      <c r="B207" s="209" t="s">
        <v>135</v>
      </c>
      <c r="C207" s="210"/>
      <c r="D207" s="210"/>
      <c r="E207" s="210"/>
      <c r="F207" s="211"/>
      <c r="G207" s="228"/>
      <c r="H207" s="248"/>
      <c r="I207" s="248"/>
      <c r="J207" s="248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</row>
    <row r="208" spans="1:25" ht="13" hidden="1" x14ac:dyDescent="0.25">
      <c r="A208" s="243" t="s">
        <v>376</v>
      </c>
      <c r="B208" s="21" t="s">
        <v>166</v>
      </c>
      <c r="C208" s="26">
        <v>15</v>
      </c>
      <c r="D208" s="36"/>
      <c r="E208" s="36"/>
      <c r="F208" s="27">
        <v>15</v>
      </c>
      <c r="G208" s="228"/>
      <c r="H208" s="248"/>
      <c r="I208" s="248"/>
      <c r="J208" s="248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</row>
    <row r="209" spans="1:25" ht="13" x14ac:dyDescent="0.25">
      <c r="A209" s="243"/>
      <c r="B209" s="29" t="s">
        <v>36</v>
      </c>
      <c r="C209" s="30" t="s">
        <v>168</v>
      </c>
      <c r="D209" s="31">
        <f>F209/F22</f>
        <v>0.15</v>
      </c>
      <c r="E209" s="31"/>
      <c r="F209" s="32">
        <f>IF(F212=0,0,F208)</f>
        <v>15</v>
      </c>
      <c r="G209" s="228"/>
      <c r="H209" s="248"/>
      <c r="I209" s="248"/>
      <c r="J209" s="248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</row>
    <row r="210" spans="1:25" ht="13" hidden="1" x14ac:dyDescent="0.25">
      <c r="A210" s="243" t="s">
        <v>376</v>
      </c>
      <c r="B210" s="21"/>
      <c r="C210" s="33"/>
      <c r="D210" s="23"/>
      <c r="E210" s="23"/>
      <c r="F210" s="28"/>
      <c r="G210" s="228"/>
      <c r="H210" s="248"/>
      <c r="I210" s="248"/>
      <c r="J210" s="248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</row>
    <row r="211" spans="1:25" ht="13" x14ac:dyDescent="0.25">
      <c r="A211" s="243"/>
      <c r="B211" s="21" t="s">
        <v>136</v>
      </c>
      <c r="C211" s="22" t="s">
        <v>137</v>
      </c>
      <c r="D211" s="23"/>
      <c r="E211" s="23"/>
      <c r="F211" s="24">
        <v>3</v>
      </c>
      <c r="G211" s="228"/>
      <c r="H211" s="248"/>
      <c r="I211" s="248"/>
      <c r="J211" s="248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</row>
    <row r="212" spans="1:25" ht="13" x14ac:dyDescent="0.25">
      <c r="A212" s="243"/>
      <c r="B212" s="21" t="s">
        <v>138</v>
      </c>
      <c r="C212" s="22" t="s">
        <v>139</v>
      </c>
      <c r="D212" s="23"/>
      <c r="E212" s="23"/>
      <c r="F212" s="24">
        <v>12</v>
      </c>
      <c r="G212" s="228" t="s">
        <v>617</v>
      </c>
      <c r="H212" s="248"/>
      <c r="I212" s="248"/>
      <c r="J212" s="248"/>
      <c r="L212" s="163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</row>
    <row r="213" spans="1:25" ht="13" hidden="1" x14ac:dyDescent="0.25">
      <c r="A213" s="243" t="s">
        <v>376</v>
      </c>
      <c r="B213" s="21" t="s">
        <v>116</v>
      </c>
      <c r="C213" s="37">
        <v>0.2</v>
      </c>
      <c r="D213" s="38"/>
      <c r="E213" s="38"/>
      <c r="F213" s="39">
        <v>0.2</v>
      </c>
      <c r="G213" s="228"/>
      <c r="H213" s="248"/>
      <c r="I213" s="248"/>
      <c r="J213" s="248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</row>
    <row r="214" spans="1:25" ht="25" hidden="1" x14ac:dyDescent="0.25">
      <c r="A214" s="243" t="s">
        <v>376</v>
      </c>
      <c r="B214" s="21" t="s">
        <v>140</v>
      </c>
      <c r="C214" s="37">
        <v>0.1</v>
      </c>
      <c r="D214" s="38"/>
      <c r="E214" s="38"/>
      <c r="F214" s="39">
        <v>0.1</v>
      </c>
      <c r="G214" s="228"/>
      <c r="H214" s="248"/>
      <c r="I214" s="248"/>
      <c r="J214" s="248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</row>
    <row r="215" spans="1:25" ht="25" hidden="1" x14ac:dyDescent="0.25">
      <c r="A215" s="243" t="s">
        <v>376</v>
      </c>
      <c r="B215" s="167" t="s">
        <v>141</v>
      </c>
      <c r="C215" s="168">
        <v>0.15</v>
      </c>
      <c r="D215" s="169"/>
      <c r="E215" s="169"/>
      <c r="F215" s="170">
        <v>0.15</v>
      </c>
      <c r="G215" s="228"/>
      <c r="H215" s="248"/>
      <c r="I215" s="248"/>
      <c r="J215" s="248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</row>
    <row r="216" spans="1:25" ht="25" hidden="1" x14ac:dyDescent="0.25">
      <c r="A216" s="243" t="s">
        <v>376</v>
      </c>
      <c r="B216" s="153" t="s">
        <v>346</v>
      </c>
      <c r="C216" s="171">
        <v>0.2</v>
      </c>
      <c r="D216" s="155"/>
      <c r="E216" s="155"/>
      <c r="F216" s="172">
        <v>0.2</v>
      </c>
      <c r="G216" s="228"/>
      <c r="H216" s="248"/>
      <c r="I216" s="248"/>
      <c r="J216" s="248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</row>
    <row r="217" spans="1:25" ht="25" hidden="1" x14ac:dyDescent="0.25">
      <c r="A217" s="243" t="s">
        <v>376</v>
      </c>
      <c r="B217" s="174" t="s">
        <v>347</v>
      </c>
      <c r="C217" s="175">
        <v>0.25</v>
      </c>
      <c r="D217" s="176"/>
      <c r="E217" s="176"/>
      <c r="F217" s="177">
        <v>0.25</v>
      </c>
      <c r="G217" s="228"/>
      <c r="H217" s="248"/>
      <c r="I217" s="248"/>
      <c r="J217" s="248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</row>
    <row r="218" spans="1:25" ht="13" x14ac:dyDescent="0.25">
      <c r="A218" s="243"/>
      <c r="B218" s="40" t="s">
        <v>142</v>
      </c>
      <c r="C218" s="41" t="s">
        <v>143</v>
      </c>
      <c r="D218" s="42"/>
      <c r="E218" s="42">
        <f>IF((F24="NO")*AND(F23="Class 2"),F218,0)</f>
        <v>0</v>
      </c>
      <c r="F218" s="43">
        <f>F211*F213+F212*F214</f>
        <v>1.8000000000000003</v>
      </c>
      <c r="G218" s="228"/>
      <c r="H218" s="248"/>
      <c r="I218" s="248"/>
      <c r="J218" s="248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</row>
    <row r="219" spans="1:25" ht="13" x14ac:dyDescent="0.25">
      <c r="A219" s="243"/>
      <c r="B219" s="79" t="s">
        <v>144</v>
      </c>
      <c r="C219" s="41" t="s">
        <v>145</v>
      </c>
      <c r="D219" s="80"/>
      <c r="E219" s="80">
        <f>IF((F24="YES")*AND(F23="Class 2"),F219,0)</f>
        <v>2.4</v>
      </c>
      <c r="F219" s="81">
        <f>F211*F213+F212*F215</f>
        <v>2.4</v>
      </c>
      <c r="G219" s="228"/>
      <c r="H219" s="248"/>
      <c r="I219" s="248"/>
      <c r="J219" s="248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</row>
    <row r="220" spans="1:25" ht="13" x14ac:dyDescent="0.25">
      <c r="A220" s="243"/>
      <c r="B220" s="147" t="s">
        <v>341</v>
      </c>
      <c r="C220" s="148"/>
      <c r="D220" s="149"/>
      <c r="E220" s="149">
        <f>IF((F24="NO")*AND(F23="Class 3"),F220,0)</f>
        <v>0</v>
      </c>
      <c r="F220" s="150">
        <f>F211*F213+F212*F216</f>
        <v>3.0000000000000004</v>
      </c>
      <c r="G220" s="228"/>
      <c r="H220" s="248"/>
      <c r="I220" s="248"/>
      <c r="J220" s="248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</row>
    <row r="221" spans="1:25" ht="13" x14ac:dyDescent="0.25">
      <c r="A221" s="243"/>
      <c r="B221" s="178" t="s">
        <v>342</v>
      </c>
      <c r="C221" s="179"/>
      <c r="D221" s="180"/>
      <c r="E221" s="180">
        <f>IF((F24="YES")*AND(F23="Class 3"),F221,0)</f>
        <v>0</v>
      </c>
      <c r="F221" s="181">
        <f>F211*F213+F212*F217</f>
        <v>3.6</v>
      </c>
      <c r="G221" s="228"/>
      <c r="H221" s="248"/>
      <c r="I221" s="248"/>
      <c r="J221" s="248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</row>
    <row r="222" spans="1:25" ht="13" hidden="1" x14ac:dyDescent="0.25">
      <c r="A222" s="243" t="s">
        <v>376</v>
      </c>
      <c r="B222" s="21"/>
      <c r="C222" s="33"/>
      <c r="D222" s="23"/>
      <c r="E222" s="23"/>
      <c r="F222" s="28"/>
      <c r="G222" s="228"/>
      <c r="H222" s="248"/>
      <c r="I222" s="248"/>
      <c r="J222" s="248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</row>
    <row r="223" spans="1:25" ht="15.5" x14ac:dyDescent="0.25">
      <c r="A223" s="243"/>
      <c r="B223" s="209" t="s">
        <v>243</v>
      </c>
      <c r="C223" s="210"/>
      <c r="D223" s="210"/>
      <c r="E223" s="210"/>
      <c r="F223" s="211"/>
      <c r="G223" s="228"/>
      <c r="H223" s="248"/>
      <c r="I223" s="248"/>
      <c r="J223" s="248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</row>
    <row r="224" spans="1:25" ht="13" hidden="1" x14ac:dyDescent="0.25">
      <c r="A224" s="243" t="s">
        <v>376</v>
      </c>
      <c r="B224" s="21" t="s">
        <v>166</v>
      </c>
      <c r="C224" s="26">
        <v>15</v>
      </c>
      <c r="D224" s="36"/>
      <c r="E224" s="36"/>
      <c r="F224" s="27">
        <v>15</v>
      </c>
      <c r="G224" s="228"/>
      <c r="H224" s="248"/>
      <c r="I224" s="248"/>
      <c r="J224" s="248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</row>
    <row r="225" spans="1:25" ht="13" x14ac:dyDescent="0.25">
      <c r="A225" s="243"/>
      <c r="B225" s="29" t="s">
        <v>36</v>
      </c>
      <c r="C225" s="30" t="s">
        <v>168</v>
      </c>
      <c r="D225" s="31">
        <f>F225/F22</f>
        <v>0</v>
      </c>
      <c r="E225" s="31"/>
      <c r="F225" s="32">
        <f>IF(F227=0,0,F224)</f>
        <v>0</v>
      </c>
      <c r="G225" s="228"/>
      <c r="H225" s="248"/>
      <c r="I225" s="248"/>
      <c r="J225" s="248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</row>
    <row r="226" spans="1:25" ht="13" hidden="1" x14ac:dyDescent="0.25">
      <c r="A226" s="243" t="s">
        <v>376</v>
      </c>
      <c r="B226" s="21"/>
      <c r="C226" s="33"/>
      <c r="D226" s="23"/>
      <c r="E226" s="23"/>
      <c r="F226" s="28"/>
      <c r="G226" s="228"/>
      <c r="H226" s="248"/>
      <c r="I226" s="248"/>
      <c r="J226" s="248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</row>
    <row r="227" spans="1:25" ht="25" x14ac:dyDescent="0.25">
      <c r="A227" s="243"/>
      <c r="B227" s="21" t="s">
        <v>178</v>
      </c>
      <c r="C227" s="22" t="s">
        <v>179</v>
      </c>
      <c r="D227" s="23"/>
      <c r="E227" s="23"/>
      <c r="F227" s="24">
        <v>0</v>
      </c>
      <c r="G227" s="228"/>
      <c r="H227" s="248"/>
      <c r="I227" s="248"/>
      <c r="J227" s="248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</row>
    <row r="228" spans="1:25" ht="13" x14ac:dyDescent="0.25">
      <c r="A228" s="243"/>
      <c r="B228" s="21" t="s">
        <v>180</v>
      </c>
      <c r="C228" s="33"/>
      <c r="D228" s="23"/>
      <c r="E228" s="23"/>
      <c r="F228" s="118">
        <v>0</v>
      </c>
      <c r="G228" s="228"/>
      <c r="H228" s="248"/>
      <c r="I228" s="248"/>
      <c r="J228" s="248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</row>
    <row r="229" spans="1:25" ht="13" x14ac:dyDescent="0.25">
      <c r="A229" s="243"/>
      <c r="B229" s="40" t="s">
        <v>46</v>
      </c>
      <c r="C229" s="41" t="s">
        <v>181</v>
      </c>
      <c r="D229" s="42"/>
      <c r="E229" s="42">
        <f>F229</f>
        <v>0</v>
      </c>
      <c r="F229" s="43">
        <f>F227*F228</f>
        <v>0</v>
      </c>
      <c r="G229" s="228"/>
      <c r="H229" s="248"/>
      <c r="I229" s="248"/>
      <c r="J229" s="248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</row>
    <row r="230" spans="1:25" ht="13" hidden="1" x14ac:dyDescent="0.25">
      <c r="A230" s="243" t="s">
        <v>376</v>
      </c>
      <c r="B230" s="21"/>
      <c r="C230" s="33"/>
      <c r="D230" s="23"/>
      <c r="E230" s="23"/>
      <c r="F230" s="28"/>
      <c r="G230" s="228"/>
      <c r="H230" s="248"/>
      <c r="I230" s="248"/>
      <c r="J230" s="248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</row>
    <row r="231" spans="1:25" ht="13" hidden="1" x14ac:dyDescent="0.25">
      <c r="A231" s="243" t="s">
        <v>376</v>
      </c>
      <c r="B231" s="21"/>
      <c r="C231" s="33"/>
      <c r="D231" s="23"/>
      <c r="E231" s="23"/>
      <c r="F231" s="28"/>
      <c r="G231" s="228"/>
      <c r="H231" s="248"/>
      <c r="I231" s="248"/>
      <c r="J231" s="248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</row>
    <row r="232" spans="1:25" ht="15.5" x14ac:dyDescent="0.25">
      <c r="A232" s="243"/>
      <c r="B232" s="209" t="s">
        <v>177</v>
      </c>
      <c r="C232" s="210"/>
      <c r="D232" s="210"/>
      <c r="E232" s="210"/>
      <c r="F232" s="211"/>
      <c r="G232" s="228"/>
      <c r="H232" s="248"/>
      <c r="I232" s="248"/>
      <c r="J232" s="248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</row>
    <row r="233" spans="1:25" ht="13" hidden="1" x14ac:dyDescent="0.25">
      <c r="A233" s="243" t="s">
        <v>376</v>
      </c>
      <c r="B233" s="127" t="s">
        <v>356</v>
      </c>
      <c r="C233" s="26">
        <v>15</v>
      </c>
      <c r="D233" s="36"/>
      <c r="E233" s="36"/>
      <c r="F233" s="27">
        <v>10</v>
      </c>
      <c r="G233" s="228"/>
      <c r="H233" s="248"/>
      <c r="I233" s="248"/>
      <c r="J233" s="248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</row>
    <row r="234" spans="1:25" ht="13" x14ac:dyDescent="0.25">
      <c r="A234" s="243"/>
      <c r="B234" s="29" t="s">
        <v>36</v>
      </c>
      <c r="C234" s="30" t="s">
        <v>168</v>
      </c>
      <c r="D234" s="31">
        <f>F234/F22</f>
        <v>0.1</v>
      </c>
      <c r="E234" s="31"/>
      <c r="F234" s="32">
        <f>IF(F238=0,0,F233)</f>
        <v>10</v>
      </c>
      <c r="G234" s="228"/>
      <c r="H234" s="248"/>
      <c r="I234" s="248"/>
      <c r="J234" s="248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</row>
    <row r="235" spans="1:25" ht="13" hidden="1" x14ac:dyDescent="0.25">
      <c r="A235" s="243" t="s">
        <v>376</v>
      </c>
      <c r="B235" s="127" t="s">
        <v>357</v>
      </c>
      <c r="C235" s="26">
        <v>15</v>
      </c>
      <c r="D235" s="36"/>
      <c r="E235" s="36"/>
      <c r="F235" s="27">
        <v>10</v>
      </c>
      <c r="G235" s="228"/>
      <c r="H235" s="248"/>
      <c r="I235" s="248"/>
      <c r="J235" s="248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</row>
    <row r="236" spans="1:25" ht="13" x14ac:dyDescent="0.25">
      <c r="A236" s="243"/>
      <c r="B236" s="29" t="s">
        <v>36</v>
      </c>
      <c r="C236" s="30" t="s">
        <v>168</v>
      </c>
      <c r="D236" s="31">
        <f>F236/F22</f>
        <v>0</v>
      </c>
      <c r="E236" s="31"/>
      <c r="F236" s="32">
        <f>IF(F239=0,0,F235)</f>
        <v>0</v>
      </c>
      <c r="G236" s="228"/>
      <c r="H236" s="248"/>
      <c r="I236" s="248"/>
      <c r="J236" s="248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</row>
    <row r="237" spans="1:25" ht="13" hidden="1" x14ac:dyDescent="0.25">
      <c r="A237" s="243" t="s">
        <v>376</v>
      </c>
      <c r="B237" s="21"/>
      <c r="C237" s="33"/>
      <c r="D237" s="23"/>
      <c r="E237" s="23"/>
      <c r="F237" s="28"/>
      <c r="G237" s="228"/>
      <c r="H237" s="248"/>
      <c r="I237" s="248"/>
      <c r="J237" s="248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</row>
    <row r="238" spans="1:25" ht="13" x14ac:dyDescent="0.25">
      <c r="A238" s="243"/>
      <c r="B238" s="127" t="s">
        <v>431</v>
      </c>
      <c r="C238" s="22"/>
      <c r="D238" s="23"/>
      <c r="E238" s="23"/>
      <c r="F238" s="259">
        <v>16</v>
      </c>
      <c r="G238" s="228"/>
      <c r="H238" s="248" t="s">
        <v>412</v>
      </c>
      <c r="I238" s="248"/>
      <c r="J238" s="248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</row>
    <row r="239" spans="1:25" ht="13" x14ac:dyDescent="0.25">
      <c r="A239" s="243"/>
      <c r="B239" s="127" t="s">
        <v>432</v>
      </c>
      <c r="C239" s="22"/>
      <c r="D239" s="23"/>
      <c r="E239" s="23"/>
      <c r="F239" s="259">
        <v>0</v>
      </c>
      <c r="G239" s="228"/>
      <c r="H239" s="248" t="s">
        <v>413</v>
      </c>
      <c r="I239" s="248"/>
      <c r="J239" s="248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</row>
    <row r="240" spans="1:25" ht="13" hidden="1" x14ac:dyDescent="0.25">
      <c r="A240" s="243" t="s">
        <v>376</v>
      </c>
      <c r="B240" s="127" t="s">
        <v>299</v>
      </c>
      <c r="C240" s="26" t="s">
        <v>298</v>
      </c>
      <c r="D240" s="23"/>
      <c r="E240" s="23"/>
      <c r="F240" s="146">
        <v>0.16700000000000001</v>
      </c>
      <c r="G240" s="228"/>
      <c r="H240" s="248"/>
      <c r="I240" s="248"/>
      <c r="J240" s="248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</row>
    <row r="241" spans="1:25" ht="13" hidden="1" x14ac:dyDescent="0.25">
      <c r="A241" s="243" t="s">
        <v>376</v>
      </c>
      <c r="B241" s="127" t="s">
        <v>300</v>
      </c>
      <c r="C241" s="26" t="s">
        <v>298</v>
      </c>
      <c r="D241" s="23"/>
      <c r="E241" s="23"/>
      <c r="F241" s="146">
        <v>0.16700000000000001</v>
      </c>
      <c r="G241" s="228"/>
      <c r="H241" s="248"/>
      <c r="I241" s="248"/>
      <c r="J241" s="248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</row>
    <row r="242" spans="1:25" ht="25.5" x14ac:dyDescent="0.25">
      <c r="A242" s="243"/>
      <c r="B242" s="127" t="s">
        <v>462</v>
      </c>
      <c r="C242" s="33"/>
      <c r="D242" s="23"/>
      <c r="E242" s="23"/>
      <c r="F242" s="118">
        <v>0.5</v>
      </c>
      <c r="G242" s="228"/>
      <c r="H242" s="248"/>
      <c r="I242" s="248"/>
      <c r="J242" s="248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</row>
    <row r="243" spans="1:25" ht="13" x14ac:dyDescent="0.25">
      <c r="A243" s="243"/>
      <c r="B243" s="40" t="s">
        <v>46</v>
      </c>
      <c r="C243" s="44"/>
      <c r="D243" s="42"/>
      <c r="E243" s="42">
        <f>F243</f>
        <v>0.79300000000000004</v>
      </c>
      <c r="F243" s="43">
        <f>(((F238*F240)+(F239*F241))+F242)/F28</f>
        <v>0.79300000000000004</v>
      </c>
      <c r="G243" s="228"/>
      <c r="H243" s="248"/>
      <c r="I243" s="248"/>
      <c r="J243" s="248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</row>
    <row r="244" spans="1:25" ht="13" hidden="1" x14ac:dyDescent="0.25">
      <c r="A244" s="243" t="s">
        <v>376</v>
      </c>
      <c r="B244" s="21"/>
      <c r="C244" s="86"/>
      <c r="D244" s="57"/>
      <c r="E244" s="57"/>
      <c r="F244" s="58"/>
      <c r="G244" s="228"/>
      <c r="H244" s="248"/>
      <c r="I244" s="248"/>
      <c r="J244" s="248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</row>
    <row r="245" spans="1:25" ht="13" hidden="1" x14ac:dyDescent="0.25">
      <c r="A245" s="243" t="s">
        <v>376</v>
      </c>
      <c r="B245" s="21"/>
      <c r="C245" s="33"/>
      <c r="D245" s="23"/>
      <c r="E245" s="23"/>
      <c r="F245" s="28"/>
      <c r="G245" s="228"/>
      <c r="H245" s="248"/>
      <c r="I245" s="248"/>
      <c r="J245" s="248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</row>
    <row r="246" spans="1:25" ht="31" x14ac:dyDescent="0.25">
      <c r="A246" s="243"/>
      <c r="B246" s="209" t="s">
        <v>403</v>
      </c>
      <c r="C246" s="210"/>
      <c r="D246" s="210"/>
      <c r="E246" s="210"/>
      <c r="F246" s="211"/>
      <c r="G246" s="228"/>
      <c r="H246" s="248"/>
      <c r="I246" s="248"/>
      <c r="J246" s="248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</row>
    <row r="247" spans="1:25" ht="13" hidden="1" x14ac:dyDescent="0.25">
      <c r="A247" s="243" t="s">
        <v>376</v>
      </c>
      <c r="B247" s="69"/>
      <c r="C247" s="33"/>
      <c r="D247" s="23"/>
      <c r="E247" s="23"/>
      <c r="F247" s="28"/>
      <c r="G247" s="228"/>
      <c r="H247" s="248"/>
      <c r="I247" s="248"/>
      <c r="J247" s="248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</row>
    <row r="248" spans="1:25" ht="13" hidden="1" x14ac:dyDescent="0.25">
      <c r="A248" s="243" t="s">
        <v>376</v>
      </c>
      <c r="B248" s="21" t="s">
        <v>133</v>
      </c>
      <c r="C248" s="37">
        <v>1.4999999999999999E-2</v>
      </c>
      <c r="D248" s="38"/>
      <c r="E248" s="38"/>
      <c r="F248" s="39">
        <v>1.4999999999999999E-2</v>
      </c>
      <c r="G248" s="228"/>
      <c r="H248" s="248"/>
      <c r="I248" s="248"/>
      <c r="J248" s="248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</row>
    <row r="249" spans="1:25" ht="12.75" hidden="1" customHeight="1" x14ac:dyDescent="0.25">
      <c r="A249" s="243" t="s">
        <v>376</v>
      </c>
      <c r="B249" s="127" t="s">
        <v>352</v>
      </c>
      <c r="C249" s="60"/>
      <c r="D249" s="36"/>
      <c r="E249" s="36"/>
      <c r="F249" s="187">
        <f>IF(AND(F211=0,F212=0,F227=0,F238=0,F239=0),0,(IF(F25="YES",F26,0)))</f>
        <v>0.16666</v>
      </c>
      <c r="G249" s="228"/>
      <c r="H249" s="248"/>
      <c r="I249" s="248"/>
      <c r="J249" s="248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</row>
    <row r="250" spans="1:25" ht="13" x14ac:dyDescent="0.25">
      <c r="A250" s="243"/>
      <c r="B250" s="127" t="s">
        <v>400</v>
      </c>
      <c r="C250" s="33"/>
      <c r="D250" s="23"/>
      <c r="E250" s="23"/>
      <c r="F250" s="118">
        <v>0</v>
      </c>
      <c r="G250" s="228"/>
      <c r="H250" s="248" t="s">
        <v>402</v>
      </c>
      <c r="I250" s="248"/>
      <c r="J250" s="248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</row>
    <row r="251" spans="1:25" ht="13" x14ac:dyDescent="0.25">
      <c r="A251" s="243"/>
      <c r="B251" s="40" t="s">
        <v>46</v>
      </c>
      <c r="C251" s="41" t="s">
        <v>134</v>
      </c>
      <c r="D251" s="42"/>
      <c r="E251" s="42">
        <f>F251</f>
        <v>0.63166</v>
      </c>
      <c r="F251" s="43">
        <f>IF(AND(F211=0,F212=0,F227=0,F238=0,F239=0),0,F248*(F211+F212+F227+F238+F239)+F249+F250)</f>
        <v>0.63166</v>
      </c>
      <c r="G251" s="228"/>
      <c r="H251" s="248"/>
      <c r="I251" s="248"/>
      <c r="J251" s="248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</row>
    <row r="252" spans="1:25" ht="13" hidden="1" x14ac:dyDescent="0.25">
      <c r="A252" s="243" t="s">
        <v>376</v>
      </c>
      <c r="B252" s="21"/>
      <c r="C252" s="33"/>
      <c r="D252" s="23"/>
      <c r="E252" s="23"/>
      <c r="F252" s="28"/>
      <c r="G252" s="228"/>
      <c r="H252" s="248"/>
      <c r="I252" s="248"/>
      <c r="J252" s="248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</row>
    <row r="253" spans="1:25" ht="31" x14ac:dyDescent="0.25">
      <c r="A253" s="243"/>
      <c r="B253" s="209" t="s">
        <v>146</v>
      </c>
      <c r="C253" s="210"/>
      <c r="D253" s="210"/>
      <c r="E253" s="210"/>
      <c r="F253" s="211"/>
      <c r="G253" s="228"/>
      <c r="H253" s="248"/>
      <c r="I253" s="248"/>
      <c r="J253" s="248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</row>
    <row r="254" spans="1:25" ht="12.75" hidden="1" customHeight="1" x14ac:dyDescent="0.25">
      <c r="A254" s="243" t="s">
        <v>376</v>
      </c>
      <c r="B254" s="127" t="s">
        <v>30</v>
      </c>
      <c r="C254" s="22" t="s">
        <v>28</v>
      </c>
      <c r="D254" s="23"/>
      <c r="E254" s="23"/>
      <c r="F254" s="28">
        <f>F32</f>
        <v>1</v>
      </c>
      <c r="G254" s="228"/>
      <c r="H254" s="248"/>
      <c r="I254" s="248"/>
      <c r="J254" s="248"/>
      <c r="L254" s="130"/>
      <c r="M254" s="130"/>
      <c r="N254" s="130"/>
      <c r="O254" s="130"/>
      <c r="P254" s="130"/>
      <c r="Q254" s="34"/>
      <c r="R254" s="34"/>
      <c r="S254" s="34"/>
      <c r="T254" s="34"/>
      <c r="U254" s="34"/>
      <c r="V254" s="34"/>
      <c r="W254" s="34"/>
      <c r="X254" s="34"/>
      <c r="Y254" s="34"/>
    </row>
    <row r="255" spans="1:25" ht="25" hidden="1" x14ac:dyDescent="0.25">
      <c r="A255" s="243" t="s">
        <v>376</v>
      </c>
      <c r="B255" s="127" t="s">
        <v>339</v>
      </c>
      <c r="C255" s="22"/>
      <c r="D255" s="23"/>
      <c r="E255" s="23"/>
      <c r="F255" s="187">
        <v>0.5</v>
      </c>
      <c r="G255" s="228"/>
      <c r="H255" s="248"/>
      <c r="I255" s="248"/>
      <c r="J255" s="248"/>
      <c r="L255" s="130"/>
      <c r="M255" s="130"/>
      <c r="N255" s="130"/>
      <c r="O255" s="130"/>
      <c r="P255" s="130"/>
      <c r="Q255" s="34"/>
      <c r="R255" s="34"/>
      <c r="S255" s="34"/>
      <c r="T255" s="34"/>
      <c r="U255" s="34"/>
      <c r="V255" s="34"/>
      <c r="W255" s="34"/>
      <c r="X255" s="34"/>
      <c r="Y255" s="34"/>
    </row>
    <row r="256" spans="1:25" ht="12.75" hidden="1" customHeight="1" x14ac:dyDescent="0.25">
      <c r="A256" s="243" t="s">
        <v>376</v>
      </c>
      <c r="B256" s="127" t="s">
        <v>337</v>
      </c>
      <c r="C256" s="22"/>
      <c r="D256" s="23"/>
      <c r="E256" s="23"/>
      <c r="F256" s="51">
        <f>IF(F27="NO",0,F254*F255)</f>
        <v>0.5</v>
      </c>
      <c r="G256" s="228"/>
      <c r="H256" s="248"/>
      <c r="I256" s="248"/>
      <c r="J256" s="248"/>
      <c r="L256" s="130"/>
      <c r="M256" s="130"/>
      <c r="N256" s="130"/>
      <c r="O256" s="130"/>
      <c r="P256" s="130"/>
      <c r="Q256" s="34"/>
      <c r="R256" s="34"/>
      <c r="S256" s="34"/>
      <c r="T256" s="34"/>
      <c r="U256" s="34"/>
      <c r="V256" s="34"/>
      <c r="W256" s="34"/>
      <c r="X256" s="34"/>
      <c r="Y256" s="34"/>
    </row>
    <row r="257" spans="1:25" ht="13" x14ac:dyDescent="0.25">
      <c r="A257" s="243"/>
      <c r="B257" s="133" t="s">
        <v>377</v>
      </c>
      <c r="C257" s="30" t="s">
        <v>66</v>
      </c>
      <c r="D257" s="31">
        <f>F257/F22</f>
        <v>5.0000000000000001E-3</v>
      </c>
      <c r="E257" s="31"/>
      <c r="F257" s="32">
        <f>IF(F254=0,0,F256)</f>
        <v>0.5</v>
      </c>
      <c r="G257" s="228"/>
      <c r="H257" s="248"/>
      <c r="I257" s="248"/>
      <c r="J257" s="248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</row>
    <row r="258" spans="1:25" ht="13" x14ac:dyDescent="0.25">
      <c r="A258" s="243"/>
      <c r="B258" s="133" t="s">
        <v>340</v>
      </c>
      <c r="C258" s="30" t="s">
        <v>66</v>
      </c>
      <c r="D258" s="31">
        <f>F258/F22</f>
        <v>0</v>
      </c>
      <c r="E258" s="31"/>
      <c r="F258" s="234">
        <v>0</v>
      </c>
      <c r="G258" s="228"/>
      <c r="H258" s="248" t="s">
        <v>391</v>
      </c>
      <c r="I258" s="248"/>
      <c r="J258" s="248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</row>
    <row r="259" spans="1:25" ht="13" x14ac:dyDescent="0.25">
      <c r="A259" s="243"/>
      <c r="B259" s="82" t="s">
        <v>147</v>
      </c>
      <c r="C259" s="83" t="s">
        <v>148</v>
      </c>
      <c r="D259" s="23"/>
      <c r="E259" s="23"/>
      <c r="F259" s="118">
        <v>0</v>
      </c>
      <c r="G259" s="228"/>
      <c r="H259" s="248"/>
      <c r="I259" s="248"/>
      <c r="J259" s="248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</row>
    <row r="260" spans="1:25" ht="13" x14ac:dyDescent="0.25">
      <c r="A260" s="243"/>
      <c r="B260" s="21" t="s">
        <v>149</v>
      </c>
      <c r="C260" s="26" t="s">
        <v>150</v>
      </c>
      <c r="D260" s="36"/>
      <c r="E260" s="36"/>
      <c r="F260" s="118">
        <v>0</v>
      </c>
      <c r="G260" s="228"/>
      <c r="H260" s="248"/>
      <c r="I260" s="248"/>
      <c r="J260" s="248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</row>
    <row r="261" spans="1:25" ht="13" x14ac:dyDescent="0.25">
      <c r="A261" s="243"/>
      <c r="B261" s="21" t="s">
        <v>151</v>
      </c>
      <c r="C261" s="26" t="s">
        <v>152</v>
      </c>
      <c r="D261" s="36"/>
      <c r="E261" s="36"/>
      <c r="F261" s="118">
        <v>0</v>
      </c>
      <c r="G261" s="228"/>
      <c r="H261" s="248"/>
      <c r="I261" s="248"/>
      <c r="J261" s="248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</row>
    <row r="262" spans="1:25" ht="13" x14ac:dyDescent="0.25">
      <c r="A262" s="243"/>
      <c r="B262" s="21" t="s">
        <v>153</v>
      </c>
      <c r="C262" s="26" t="s">
        <v>154</v>
      </c>
      <c r="D262" s="36"/>
      <c r="E262" s="36"/>
      <c r="F262" s="118">
        <v>0</v>
      </c>
      <c r="G262" s="228"/>
      <c r="H262" s="248"/>
      <c r="I262" s="248"/>
      <c r="J262" s="248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</row>
    <row r="263" spans="1:25" ht="13" x14ac:dyDescent="0.25">
      <c r="A263" s="243"/>
      <c r="B263" s="21" t="s">
        <v>155</v>
      </c>
      <c r="C263" s="26" t="s">
        <v>156</v>
      </c>
      <c r="D263" s="36"/>
      <c r="E263" s="36"/>
      <c r="F263" s="118">
        <v>0</v>
      </c>
      <c r="G263" s="228"/>
      <c r="H263" s="248"/>
      <c r="I263" s="248"/>
      <c r="J263" s="248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</row>
    <row r="264" spans="1:25" ht="25" x14ac:dyDescent="0.25">
      <c r="A264" s="243"/>
      <c r="B264" s="21" t="s">
        <v>157</v>
      </c>
      <c r="C264" s="26"/>
      <c r="D264" s="36"/>
      <c r="E264" s="36"/>
      <c r="F264" s="118">
        <v>0</v>
      </c>
      <c r="G264" s="228"/>
      <c r="H264" s="248"/>
      <c r="I264" s="248"/>
      <c r="J264" s="248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</row>
    <row r="265" spans="1:25" ht="13" x14ac:dyDescent="0.25">
      <c r="A265" s="243"/>
      <c r="B265" s="21" t="s">
        <v>249</v>
      </c>
      <c r="C265" s="26"/>
      <c r="D265" s="36"/>
      <c r="E265" s="36"/>
      <c r="F265" s="118">
        <v>0</v>
      </c>
      <c r="G265" s="228"/>
      <c r="H265" s="248"/>
      <c r="I265" s="248"/>
      <c r="J265" s="248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</row>
    <row r="266" spans="1:25" ht="13" x14ac:dyDescent="0.25">
      <c r="A266" s="243"/>
      <c r="B266" s="21" t="s">
        <v>228</v>
      </c>
      <c r="C266" s="26"/>
      <c r="D266" s="36"/>
      <c r="E266" s="36"/>
      <c r="F266" s="118">
        <v>0.5</v>
      </c>
      <c r="G266" s="228"/>
      <c r="H266" s="248"/>
      <c r="I266" s="248"/>
      <c r="J266" s="248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</row>
    <row r="267" spans="1:25" ht="13" hidden="1" x14ac:dyDescent="0.25">
      <c r="A267" s="243" t="s">
        <v>376</v>
      </c>
      <c r="B267" s="21"/>
      <c r="C267" s="33"/>
      <c r="D267" s="23"/>
      <c r="E267" s="23"/>
      <c r="F267" s="28"/>
      <c r="G267" s="228"/>
      <c r="H267" s="248"/>
      <c r="I267" s="248"/>
      <c r="J267" s="248"/>
      <c r="L267" s="68"/>
      <c r="M267" s="34"/>
      <c r="N267" s="34"/>
      <c r="O267" s="34"/>
      <c r="P267" s="85"/>
      <c r="Q267" s="34"/>
      <c r="R267" s="34"/>
      <c r="S267" s="34"/>
      <c r="T267" s="34"/>
      <c r="U267" s="34"/>
      <c r="V267" s="34"/>
      <c r="W267" s="34"/>
      <c r="X267" s="34"/>
      <c r="Y267" s="34"/>
    </row>
    <row r="268" spans="1:25" ht="13" x14ac:dyDescent="0.25">
      <c r="A268" s="243"/>
      <c r="B268" s="40" t="s">
        <v>46</v>
      </c>
      <c r="C268" s="44" t="s">
        <v>158</v>
      </c>
      <c r="D268" s="42"/>
      <c r="E268" s="42">
        <f>F268</f>
        <v>0.5</v>
      </c>
      <c r="F268" s="120">
        <f>SUM(F259:F266)</f>
        <v>0.5</v>
      </c>
      <c r="G268" s="228"/>
      <c r="H268" s="248"/>
      <c r="I268" s="248"/>
      <c r="J268" s="248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</row>
    <row r="269" spans="1:25" ht="15.5" x14ac:dyDescent="0.25">
      <c r="A269" s="243"/>
      <c r="B269" s="209" t="s">
        <v>295</v>
      </c>
      <c r="C269" s="210"/>
      <c r="D269" s="210"/>
      <c r="E269" s="210"/>
      <c r="F269" s="211"/>
      <c r="G269" s="228"/>
      <c r="H269" s="248"/>
      <c r="I269" s="248"/>
      <c r="J269" s="248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</row>
    <row r="270" spans="1:25" ht="13" hidden="1" x14ac:dyDescent="0.25">
      <c r="A270" s="243" t="s">
        <v>376</v>
      </c>
      <c r="B270" s="21" t="s">
        <v>166</v>
      </c>
      <c r="C270" s="26">
        <v>10</v>
      </c>
      <c r="D270" s="36"/>
      <c r="E270" s="36"/>
      <c r="F270" s="27">
        <v>10</v>
      </c>
      <c r="G270" s="228"/>
      <c r="H270" s="248"/>
      <c r="I270" s="248"/>
      <c r="J270" s="248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</row>
    <row r="271" spans="1:25" ht="13" x14ac:dyDescent="0.25">
      <c r="A271" s="243"/>
      <c r="B271" s="29" t="s">
        <v>36</v>
      </c>
      <c r="C271" s="30" t="s">
        <v>168</v>
      </c>
      <c r="D271" s="31">
        <f>F271/F22</f>
        <v>0</v>
      </c>
      <c r="E271" s="31"/>
      <c r="F271" s="32">
        <f>IF(F273=0,0,F270)</f>
        <v>0</v>
      </c>
      <c r="G271" s="228"/>
      <c r="H271" s="248"/>
      <c r="I271" s="248"/>
      <c r="J271" s="248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</row>
    <row r="272" spans="1:25" ht="13" hidden="1" x14ac:dyDescent="0.25">
      <c r="A272" s="243" t="s">
        <v>376</v>
      </c>
      <c r="B272" s="82"/>
      <c r="C272" s="83"/>
      <c r="D272" s="23"/>
      <c r="E272" s="23"/>
      <c r="F272" s="84"/>
      <c r="G272" s="228"/>
      <c r="H272" s="248"/>
      <c r="I272" s="248"/>
      <c r="J272" s="248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</row>
    <row r="273" spans="1:25" ht="13" x14ac:dyDescent="0.25">
      <c r="A273" s="243"/>
      <c r="B273" s="127" t="s">
        <v>296</v>
      </c>
      <c r="C273" s="26" t="s">
        <v>154</v>
      </c>
      <c r="D273" s="23"/>
      <c r="E273" s="23"/>
      <c r="F273" s="118">
        <v>0</v>
      </c>
      <c r="G273" s="228"/>
      <c r="H273" s="248"/>
      <c r="I273" s="248"/>
      <c r="J273" s="248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</row>
    <row r="274" spans="1:25" ht="12.75" hidden="1" customHeight="1" x14ac:dyDescent="0.25">
      <c r="A274" s="243" t="s">
        <v>376</v>
      </c>
      <c r="B274" s="127" t="s">
        <v>352</v>
      </c>
      <c r="C274" s="60"/>
      <c r="D274" s="36"/>
      <c r="E274" s="36"/>
      <c r="F274" s="187">
        <f>IF(F273=0,0,(IF(F25="YES",F26,0)))</f>
        <v>0</v>
      </c>
      <c r="G274" s="228"/>
      <c r="H274" s="248"/>
      <c r="I274" s="248"/>
      <c r="J274" s="248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</row>
    <row r="275" spans="1:25" ht="13" x14ac:dyDescent="0.25">
      <c r="A275" s="243"/>
      <c r="B275" s="40" t="s">
        <v>46</v>
      </c>
      <c r="C275" s="41"/>
      <c r="D275" s="42"/>
      <c r="E275" s="42">
        <f>F275</f>
        <v>0</v>
      </c>
      <c r="F275" s="43">
        <f>F273+F274</f>
        <v>0</v>
      </c>
      <c r="G275" s="228"/>
      <c r="H275" s="248"/>
      <c r="I275" s="248"/>
      <c r="J275" s="248"/>
      <c r="L275" s="34"/>
      <c r="M275" s="34"/>
      <c r="N275" s="34"/>
      <c r="O275" s="34"/>
      <c r="P275" s="85"/>
      <c r="Q275" s="34"/>
      <c r="R275" s="34"/>
      <c r="S275" s="34"/>
      <c r="T275" s="34"/>
      <c r="U275" s="34"/>
      <c r="V275" s="34"/>
      <c r="W275" s="34"/>
      <c r="X275" s="34"/>
      <c r="Y275" s="34"/>
    </row>
    <row r="276" spans="1:25" ht="13" hidden="1" x14ac:dyDescent="0.25">
      <c r="A276" s="243" t="s">
        <v>376</v>
      </c>
      <c r="B276" s="21"/>
      <c r="C276" s="33"/>
      <c r="D276" s="23"/>
      <c r="E276" s="23"/>
      <c r="F276" s="28"/>
      <c r="G276" s="228"/>
      <c r="H276" s="248"/>
      <c r="I276" s="248"/>
      <c r="J276" s="248"/>
      <c r="L276" s="34"/>
      <c r="M276" s="34"/>
      <c r="N276" s="34"/>
      <c r="O276" s="34"/>
      <c r="P276" s="85"/>
      <c r="Q276" s="34"/>
      <c r="R276" s="34"/>
      <c r="S276" s="34"/>
      <c r="T276" s="34"/>
      <c r="U276" s="34"/>
      <c r="V276" s="34"/>
      <c r="W276" s="34"/>
      <c r="X276" s="34"/>
      <c r="Y276" s="34"/>
    </row>
    <row r="277" spans="1:25" ht="31" x14ac:dyDescent="0.25">
      <c r="A277" s="243"/>
      <c r="B277" s="209" t="s">
        <v>227</v>
      </c>
      <c r="C277" s="210"/>
      <c r="D277" s="210"/>
      <c r="E277" s="210"/>
      <c r="F277" s="211"/>
      <c r="G277" s="228"/>
      <c r="H277" s="248"/>
      <c r="I277" s="248"/>
      <c r="J277" s="248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</row>
    <row r="278" spans="1:25" ht="13" hidden="1" x14ac:dyDescent="0.25">
      <c r="A278" s="243" t="s">
        <v>376</v>
      </c>
      <c r="B278" s="21" t="s">
        <v>166</v>
      </c>
      <c r="C278" s="26">
        <v>10</v>
      </c>
      <c r="D278" s="36"/>
      <c r="E278" s="36"/>
      <c r="F278" s="27">
        <v>10</v>
      </c>
      <c r="G278" s="228"/>
      <c r="H278" s="248"/>
      <c r="I278" s="248"/>
      <c r="J278" s="248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</row>
    <row r="279" spans="1:25" ht="13" x14ac:dyDescent="0.25">
      <c r="A279" s="243"/>
      <c r="B279" s="29" t="s">
        <v>36</v>
      </c>
      <c r="C279" s="30" t="s">
        <v>168</v>
      </c>
      <c r="D279" s="31">
        <f>F279/F22</f>
        <v>0</v>
      </c>
      <c r="E279" s="31"/>
      <c r="F279" s="32">
        <f>IF(F281=0,0,F278)</f>
        <v>0</v>
      </c>
      <c r="G279" s="228"/>
      <c r="H279" s="248"/>
      <c r="I279" s="248"/>
      <c r="J279" s="248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</row>
    <row r="280" spans="1:25" ht="13" hidden="1" x14ac:dyDescent="0.25">
      <c r="A280" s="243" t="s">
        <v>376</v>
      </c>
      <c r="B280" s="82"/>
      <c r="C280" s="83"/>
      <c r="D280" s="23"/>
      <c r="E280" s="23"/>
      <c r="F280" s="84"/>
      <c r="G280" s="228"/>
      <c r="H280" s="248"/>
      <c r="I280" s="248"/>
      <c r="J280" s="248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</row>
    <row r="281" spans="1:25" ht="13" x14ac:dyDescent="0.25">
      <c r="A281" s="243"/>
      <c r="B281" s="127" t="s">
        <v>296</v>
      </c>
      <c r="C281" s="26" t="s">
        <v>154</v>
      </c>
      <c r="D281" s="23"/>
      <c r="E281" s="23"/>
      <c r="F281" s="118">
        <v>0</v>
      </c>
      <c r="G281" s="228"/>
      <c r="H281" s="248"/>
      <c r="I281" s="248"/>
      <c r="J281" s="248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</row>
    <row r="282" spans="1:25" ht="12.75" hidden="1" customHeight="1" x14ac:dyDescent="0.25">
      <c r="A282" s="243" t="s">
        <v>376</v>
      </c>
      <c r="B282" s="127" t="s">
        <v>352</v>
      </c>
      <c r="C282" s="60"/>
      <c r="D282" s="36"/>
      <c r="E282" s="36"/>
      <c r="F282" s="187">
        <f>IF(F281=0,0,(IF(F25="YES",F26,0)))</f>
        <v>0</v>
      </c>
      <c r="G282" s="228"/>
      <c r="H282" s="248"/>
      <c r="I282" s="248"/>
      <c r="J282" s="248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</row>
    <row r="283" spans="1:25" ht="13" x14ac:dyDescent="0.25">
      <c r="A283" s="243"/>
      <c r="B283" s="40" t="s">
        <v>46</v>
      </c>
      <c r="C283" s="41"/>
      <c r="D283" s="42"/>
      <c r="E283" s="42">
        <f>F283</f>
        <v>0</v>
      </c>
      <c r="F283" s="43">
        <f>F281+F282</f>
        <v>0</v>
      </c>
      <c r="G283" s="228"/>
      <c r="H283" s="248"/>
      <c r="I283" s="248"/>
      <c r="J283" s="248"/>
      <c r="L283" s="34"/>
      <c r="M283" s="34"/>
      <c r="N283" s="34"/>
      <c r="O283" s="34"/>
      <c r="P283" s="85"/>
      <c r="Q283" s="34"/>
      <c r="R283" s="34"/>
      <c r="S283" s="34"/>
      <c r="T283" s="34"/>
      <c r="U283" s="34"/>
      <c r="V283" s="34"/>
      <c r="W283" s="34"/>
      <c r="X283" s="34"/>
      <c r="Y283" s="34"/>
    </row>
    <row r="284" spans="1:25" ht="13" hidden="1" x14ac:dyDescent="0.25">
      <c r="A284" s="243" t="s">
        <v>376</v>
      </c>
      <c r="B284" s="21"/>
      <c r="C284" s="33"/>
      <c r="D284" s="23"/>
      <c r="E284" s="23"/>
      <c r="F284" s="28"/>
      <c r="G284" s="228"/>
      <c r="H284" s="248"/>
      <c r="I284" s="248"/>
      <c r="J284" s="248"/>
      <c r="L284" s="34"/>
      <c r="M284" s="34"/>
      <c r="N284" s="34"/>
      <c r="O284" s="34"/>
      <c r="P284" s="85"/>
      <c r="Q284" s="34"/>
      <c r="R284" s="34"/>
      <c r="S284" s="34"/>
      <c r="T284" s="34"/>
      <c r="U284" s="34"/>
      <c r="V284" s="34"/>
      <c r="W284" s="34"/>
      <c r="X284" s="34"/>
      <c r="Y284" s="34"/>
    </row>
    <row r="285" spans="1:25" ht="15.5" x14ac:dyDescent="0.25">
      <c r="A285" s="243"/>
      <c r="B285" s="209" t="s">
        <v>239</v>
      </c>
      <c r="C285" s="210"/>
      <c r="D285" s="210"/>
      <c r="E285" s="210"/>
      <c r="F285" s="211"/>
      <c r="G285" s="228"/>
      <c r="H285" s="248"/>
      <c r="I285" s="248"/>
      <c r="J285" s="248"/>
      <c r="L285" s="34"/>
      <c r="M285" s="34"/>
      <c r="N285" s="34"/>
      <c r="O285" s="34"/>
      <c r="P285" s="85"/>
      <c r="Q285" s="34"/>
      <c r="R285" s="34"/>
      <c r="S285" s="34"/>
      <c r="T285" s="34"/>
      <c r="U285" s="34"/>
      <c r="V285" s="34"/>
      <c r="W285" s="34"/>
      <c r="X285" s="34"/>
      <c r="Y285" s="34"/>
    </row>
    <row r="286" spans="1:25" ht="13" hidden="1" x14ac:dyDescent="0.25">
      <c r="A286" s="243" t="s">
        <v>376</v>
      </c>
      <c r="B286" s="21" t="s">
        <v>166</v>
      </c>
      <c r="C286" s="26">
        <v>10</v>
      </c>
      <c r="D286" s="36"/>
      <c r="E286" s="36"/>
      <c r="F286" s="27">
        <v>10</v>
      </c>
      <c r="G286" s="228"/>
      <c r="H286" s="248"/>
      <c r="I286" s="248"/>
      <c r="J286" s="248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</row>
    <row r="287" spans="1:25" ht="13" x14ac:dyDescent="0.25">
      <c r="A287" s="243"/>
      <c r="B287" s="29" t="s">
        <v>36</v>
      </c>
      <c r="C287" s="30" t="s">
        <v>168</v>
      </c>
      <c r="D287" s="31">
        <f>F287/F22</f>
        <v>0.1</v>
      </c>
      <c r="E287" s="31"/>
      <c r="F287" s="32">
        <f>IF(F289=0,0,F286)</f>
        <v>10</v>
      </c>
      <c r="G287" s="228"/>
      <c r="H287" s="248"/>
      <c r="I287" s="248"/>
      <c r="J287" s="248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</row>
    <row r="288" spans="1:25" ht="13" hidden="1" x14ac:dyDescent="0.25">
      <c r="A288" s="243" t="s">
        <v>376</v>
      </c>
      <c r="B288" s="21"/>
      <c r="C288" s="86"/>
      <c r="D288" s="57"/>
      <c r="E288" s="57"/>
      <c r="F288" s="58"/>
      <c r="G288" s="228"/>
      <c r="H288" s="248"/>
      <c r="I288" s="248"/>
      <c r="J288" s="248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</row>
    <row r="289" spans="1:25" ht="13" x14ac:dyDescent="0.25">
      <c r="A289" s="243"/>
      <c r="B289" s="127" t="s">
        <v>353</v>
      </c>
      <c r="C289" s="33" t="s">
        <v>160</v>
      </c>
      <c r="D289" s="23"/>
      <c r="E289" s="23"/>
      <c r="F289" s="118">
        <v>2.5</v>
      </c>
      <c r="G289" s="228" t="s">
        <v>612</v>
      </c>
      <c r="H289" s="248"/>
      <c r="I289" s="248"/>
      <c r="J289" s="248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</row>
    <row r="290" spans="1:25" ht="12.75" hidden="1" customHeight="1" x14ac:dyDescent="0.25">
      <c r="A290" s="243" t="s">
        <v>376</v>
      </c>
      <c r="B290" s="127" t="s">
        <v>352</v>
      </c>
      <c r="C290" s="60"/>
      <c r="D290" s="36"/>
      <c r="E290" s="36"/>
      <c r="F290" s="187">
        <f>IF(F289=0,0,(IF(F25="YES",F26,0)))</f>
        <v>0.16666</v>
      </c>
      <c r="G290" s="228"/>
      <c r="H290" s="248"/>
      <c r="I290" s="248"/>
      <c r="J290" s="248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</row>
    <row r="291" spans="1:25" ht="13" x14ac:dyDescent="0.25">
      <c r="A291" s="243"/>
      <c r="B291" s="40" t="s">
        <v>46</v>
      </c>
      <c r="C291" s="41"/>
      <c r="D291" s="42"/>
      <c r="E291" s="42">
        <f>F291</f>
        <v>2.6666599999999998</v>
      </c>
      <c r="F291" s="43">
        <f>F290+F289</f>
        <v>2.6666599999999998</v>
      </c>
      <c r="G291" s="228"/>
      <c r="H291" s="248"/>
      <c r="I291" s="248"/>
      <c r="J291" s="248"/>
      <c r="L291" s="34"/>
      <c r="M291" s="34"/>
      <c r="N291" s="34"/>
      <c r="O291" s="34"/>
      <c r="P291" s="85"/>
      <c r="Q291" s="34"/>
      <c r="R291" s="34"/>
      <c r="S291" s="34"/>
      <c r="T291" s="34"/>
      <c r="U291" s="34"/>
      <c r="V291" s="34"/>
      <c r="W291" s="34"/>
      <c r="X291" s="34"/>
      <c r="Y291" s="34"/>
    </row>
    <row r="292" spans="1:25" ht="13" hidden="1" x14ac:dyDescent="0.25">
      <c r="A292" s="243" t="s">
        <v>376</v>
      </c>
      <c r="B292" s="21"/>
      <c r="C292" s="33"/>
      <c r="D292" s="23"/>
      <c r="E292" s="23"/>
      <c r="F292" s="28"/>
      <c r="G292" s="228"/>
      <c r="H292" s="248"/>
      <c r="I292" s="248"/>
      <c r="J292" s="248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</row>
    <row r="293" spans="1:25" ht="15.5" x14ac:dyDescent="0.25">
      <c r="A293" s="243"/>
      <c r="B293" s="209" t="s">
        <v>161</v>
      </c>
      <c r="C293" s="210"/>
      <c r="D293" s="210"/>
      <c r="E293" s="210"/>
      <c r="F293" s="211"/>
      <c r="G293" s="228"/>
      <c r="H293" s="248"/>
      <c r="I293" s="248"/>
      <c r="J293" s="248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</row>
    <row r="294" spans="1:25" ht="13" hidden="1" x14ac:dyDescent="0.25">
      <c r="A294" s="243" t="s">
        <v>376</v>
      </c>
      <c r="B294" s="21" t="s">
        <v>162</v>
      </c>
      <c r="C294" s="86"/>
      <c r="D294" s="57"/>
      <c r="E294" s="57"/>
      <c r="F294" s="87">
        <v>0.05</v>
      </c>
      <c r="G294" s="228"/>
      <c r="H294" s="248"/>
      <c r="I294" s="248"/>
      <c r="J294" s="248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</row>
    <row r="295" spans="1:25" ht="13" x14ac:dyDescent="0.25">
      <c r="A295" s="243"/>
      <c r="B295" s="40"/>
      <c r="C295" s="44"/>
      <c r="D295" s="42"/>
      <c r="E295" s="42">
        <f>F295</f>
        <v>0.125</v>
      </c>
      <c r="F295" s="43">
        <f>F289*F294</f>
        <v>0.125</v>
      </c>
      <c r="G295" s="228"/>
      <c r="H295" s="248"/>
      <c r="I295" s="248"/>
      <c r="J295" s="248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</row>
    <row r="296" spans="1:25" ht="13" hidden="1" x14ac:dyDescent="0.25">
      <c r="A296" s="243" t="s">
        <v>376</v>
      </c>
      <c r="B296" s="21"/>
      <c r="C296" s="33"/>
      <c r="D296" s="23"/>
      <c r="E296" s="23"/>
      <c r="F296" s="28"/>
      <c r="G296" s="228"/>
      <c r="H296" s="248"/>
      <c r="I296" s="248"/>
      <c r="J296" s="248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</row>
    <row r="297" spans="1:25" ht="15.5" x14ac:dyDescent="0.25">
      <c r="A297" s="243"/>
      <c r="B297" s="209" t="s">
        <v>163</v>
      </c>
      <c r="C297" s="210"/>
      <c r="D297" s="210"/>
      <c r="E297" s="210"/>
      <c r="F297" s="211"/>
      <c r="G297" s="228"/>
      <c r="H297" s="248"/>
      <c r="I297" s="248"/>
      <c r="J297" s="248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</row>
    <row r="298" spans="1:25" ht="13" hidden="1" x14ac:dyDescent="0.25">
      <c r="A298" s="243" t="s">
        <v>376</v>
      </c>
      <c r="B298" s="21" t="s">
        <v>166</v>
      </c>
      <c r="C298" s="26">
        <v>10</v>
      </c>
      <c r="D298" s="36"/>
      <c r="E298" s="36"/>
      <c r="F298" s="27">
        <v>10</v>
      </c>
      <c r="G298" s="228"/>
      <c r="H298" s="248"/>
      <c r="I298" s="248"/>
      <c r="J298" s="248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</row>
    <row r="299" spans="1:25" ht="13" x14ac:dyDescent="0.25">
      <c r="A299" s="243"/>
      <c r="B299" s="29" t="s">
        <v>36</v>
      </c>
      <c r="C299" s="30" t="s">
        <v>168</v>
      </c>
      <c r="D299" s="31">
        <f>F299/F22</f>
        <v>0.1</v>
      </c>
      <c r="E299" s="31"/>
      <c r="F299" s="32">
        <f>IF(F301=0,0,F298)</f>
        <v>10</v>
      </c>
      <c r="G299" s="228"/>
      <c r="H299" s="248"/>
      <c r="I299" s="248"/>
      <c r="J299" s="248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</row>
    <row r="300" spans="1:25" ht="13" hidden="1" x14ac:dyDescent="0.25">
      <c r="A300" s="243" t="s">
        <v>376</v>
      </c>
      <c r="B300" s="21"/>
      <c r="C300" s="86"/>
      <c r="D300" s="57"/>
      <c r="E300" s="57"/>
      <c r="F300" s="58"/>
      <c r="G300" s="228"/>
      <c r="H300" s="248"/>
      <c r="I300" s="248"/>
      <c r="J300" s="248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</row>
    <row r="301" spans="1:25" ht="13" x14ac:dyDescent="0.25">
      <c r="A301" s="243"/>
      <c r="B301" s="127" t="s">
        <v>353</v>
      </c>
      <c r="C301" s="33" t="s">
        <v>160</v>
      </c>
      <c r="D301" s="23"/>
      <c r="E301" s="23"/>
      <c r="F301" s="118">
        <v>2.5</v>
      </c>
      <c r="G301" s="228"/>
      <c r="H301" s="248" t="s">
        <v>392</v>
      </c>
      <c r="I301" s="248"/>
      <c r="J301" s="248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</row>
    <row r="302" spans="1:25" ht="12.75" hidden="1" customHeight="1" x14ac:dyDescent="0.25">
      <c r="A302" s="243" t="s">
        <v>376</v>
      </c>
      <c r="B302" s="127" t="s">
        <v>352</v>
      </c>
      <c r="C302" s="60"/>
      <c r="D302" s="36"/>
      <c r="E302" s="36"/>
      <c r="F302" s="187">
        <f>IF(F301=0,0,(IF(F25="YES",F26,0)))</f>
        <v>0.16666</v>
      </c>
      <c r="G302" s="228"/>
      <c r="H302" s="248"/>
      <c r="I302" s="248"/>
      <c r="J302" s="248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</row>
    <row r="303" spans="1:25" ht="13" x14ac:dyDescent="0.25">
      <c r="A303" s="243"/>
      <c r="B303" s="40" t="s">
        <v>46</v>
      </c>
      <c r="C303" s="41"/>
      <c r="D303" s="42"/>
      <c r="E303" s="42">
        <f>F303</f>
        <v>2.6666599999999998</v>
      </c>
      <c r="F303" s="43">
        <f>F302+F301</f>
        <v>2.6666599999999998</v>
      </c>
      <c r="G303" s="228"/>
      <c r="H303" s="248"/>
      <c r="I303" s="248"/>
      <c r="J303" s="248"/>
      <c r="L303" s="34"/>
      <c r="M303" s="34"/>
      <c r="N303" s="34"/>
      <c r="O303" s="34"/>
      <c r="P303" s="85"/>
      <c r="Q303" s="34"/>
      <c r="R303" s="34"/>
      <c r="S303" s="34"/>
      <c r="T303" s="34"/>
      <c r="U303" s="34"/>
      <c r="V303" s="34"/>
      <c r="W303" s="34"/>
      <c r="X303" s="34"/>
      <c r="Y303" s="34"/>
    </row>
    <row r="304" spans="1:25" ht="13" hidden="1" x14ac:dyDescent="0.25">
      <c r="A304" s="243" t="s">
        <v>376</v>
      </c>
      <c r="B304" s="21"/>
      <c r="C304" s="33"/>
      <c r="D304" s="23"/>
      <c r="E304" s="23"/>
      <c r="F304" s="28"/>
      <c r="G304" s="228"/>
      <c r="H304" s="248"/>
      <c r="I304" s="248"/>
      <c r="J304" s="248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</row>
    <row r="305" spans="1:25" ht="15.5" x14ac:dyDescent="0.25">
      <c r="A305" s="243"/>
      <c r="B305" s="209" t="s">
        <v>164</v>
      </c>
      <c r="C305" s="210"/>
      <c r="D305" s="210"/>
      <c r="E305" s="210"/>
      <c r="F305" s="211"/>
      <c r="G305" s="228"/>
      <c r="H305" s="248"/>
      <c r="I305" s="248"/>
      <c r="J305" s="248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</row>
    <row r="306" spans="1:25" ht="13" hidden="1" x14ac:dyDescent="0.25">
      <c r="A306" s="243" t="s">
        <v>376</v>
      </c>
      <c r="B306" s="21" t="s">
        <v>162</v>
      </c>
      <c r="C306" s="86"/>
      <c r="D306" s="57"/>
      <c r="E306" s="57"/>
      <c r="F306" s="87">
        <v>0.15</v>
      </c>
      <c r="G306" s="228"/>
      <c r="H306" s="248"/>
      <c r="I306" s="248"/>
      <c r="J306" s="248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</row>
    <row r="307" spans="1:25" ht="13" x14ac:dyDescent="0.25">
      <c r="A307" s="243"/>
      <c r="B307" s="40"/>
      <c r="C307" s="44"/>
      <c r="D307" s="42"/>
      <c r="E307" s="42">
        <f>F307</f>
        <v>0.375</v>
      </c>
      <c r="F307" s="43">
        <f>F301*F306</f>
        <v>0.375</v>
      </c>
      <c r="G307" s="228"/>
      <c r="H307" s="248"/>
      <c r="I307" s="248"/>
      <c r="J307" s="248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</row>
    <row r="308" spans="1:25" ht="13" hidden="1" x14ac:dyDescent="0.25">
      <c r="A308" s="243" t="s">
        <v>376</v>
      </c>
      <c r="B308" s="21"/>
      <c r="C308" s="33"/>
      <c r="D308" s="23"/>
      <c r="E308" s="23"/>
      <c r="F308" s="28"/>
      <c r="G308" s="228"/>
      <c r="H308" s="248"/>
      <c r="I308" s="248"/>
      <c r="J308" s="248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</row>
    <row r="309" spans="1:25" ht="31" x14ac:dyDescent="0.25">
      <c r="A309" s="243"/>
      <c r="B309" s="209" t="s">
        <v>165</v>
      </c>
      <c r="C309" s="210"/>
      <c r="D309" s="210"/>
      <c r="E309" s="210"/>
      <c r="F309" s="211"/>
      <c r="G309" s="228"/>
      <c r="H309" s="248"/>
      <c r="I309" s="248"/>
      <c r="J309" s="248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</row>
    <row r="310" spans="1:25" ht="13" hidden="1" x14ac:dyDescent="0.25">
      <c r="A310" s="243" t="s">
        <v>376</v>
      </c>
      <c r="B310" s="21"/>
      <c r="C310" s="33"/>
      <c r="D310" s="23"/>
      <c r="E310" s="23"/>
      <c r="F310" s="28"/>
      <c r="G310" s="228"/>
      <c r="H310" s="248"/>
      <c r="I310" s="248"/>
      <c r="J310" s="248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</row>
    <row r="311" spans="1:25" ht="13" hidden="1" x14ac:dyDescent="0.25">
      <c r="A311" s="243" t="s">
        <v>376</v>
      </c>
      <c r="B311" s="21" t="s">
        <v>166</v>
      </c>
      <c r="C311" s="26">
        <v>30</v>
      </c>
      <c r="D311" s="36"/>
      <c r="E311" s="36"/>
      <c r="F311" s="27">
        <v>30</v>
      </c>
      <c r="G311" s="233"/>
      <c r="H311" s="248" t="s">
        <v>167</v>
      </c>
      <c r="I311" s="248"/>
      <c r="J311" s="248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</row>
    <row r="312" spans="1:25" ht="13" x14ac:dyDescent="0.25">
      <c r="A312" s="243"/>
      <c r="B312" s="29" t="s">
        <v>36</v>
      </c>
      <c r="C312" s="30" t="s">
        <v>168</v>
      </c>
      <c r="D312" s="31">
        <f>F312/F22</f>
        <v>0</v>
      </c>
      <c r="E312" s="31"/>
      <c r="F312" s="32">
        <f>IF(F315=0,0,F311)</f>
        <v>0</v>
      </c>
      <c r="G312" s="228"/>
      <c r="H312" s="248"/>
      <c r="I312" s="248"/>
      <c r="J312" s="248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</row>
    <row r="313" spans="1:25" ht="13" hidden="1" x14ac:dyDescent="0.25">
      <c r="A313" s="243" t="s">
        <v>376</v>
      </c>
      <c r="B313" s="21"/>
      <c r="C313" s="33"/>
      <c r="D313" s="23"/>
      <c r="E313" s="23"/>
      <c r="F313" s="28"/>
      <c r="G313" s="228"/>
      <c r="H313" s="248"/>
      <c r="I313" s="248"/>
      <c r="J313" s="248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</row>
    <row r="314" spans="1:25" ht="13" x14ac:dyDescent="0.25">
      <c r="A314" s="243"/>
      <c r="B314" s="21" t="s">
        <v>169</v>
      </c>
      <c r="C314" s="22" t="s">
        <v>170</v>
      </c>
      <c r="D314" s="23"/>
      <c r="E314" s="23"/>
      <c r="F314" s="118">
        <v>0</v>
      </c>
      <c r="G314" s="228"/>
      <c r="H314" s="248"/>
      <c r="I314" s="248"/>
      <c r="J314" s="248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</row>
    <row r="315" spans="1:25" ht="13" x14ac:dyDescent="0.25">
      <c r="A315" s="243"/>
      <c r="B315" s="21" t="s">
        <v>171</v>
      </c>
      <c r="C315" s="240" t="s">
        <v>172</v>
      </c>
      <c r="D315" s="23"/>
      <c r="E315" s="23"/>
      <c r="F315" s="24">
        <v>0</v>
      </c>
      <c r="G315" s="228"/>
      <c r="H315" s="248"/>
      <c r="I315" s="248"/>
      <c r="J315" s="248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</row>
    <row r="316" spans="1:25" ht="13" x14ac:dyDescent="0.25">
      <c r="A316" s="243"/>
      <c r="B316" s="127" t="s">
        <v>297</v>
      </c>
      <c r="C316" s="22"/>
      <c r="D316" s="23"/>
      <c r="E316" s="23"/>
      <c r="F316" s="24">
        <v>0</v>
      </c>
      <c r="G316" s="228"/>
      <c r="H316" s="248"/>
      <c r="I316" s="248"/>
      <c r="J316" s="248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</row>
    <row r="317" spans="1:25" ht="25" x14ac:dyDescent="0.25">
      <c r="A317" s="243"/>
      <c r="B317" s="127" t="s">
        <v>379</v>
      </c>
      <c r="C317" s="26">
        <v>2.5</v>
      </c>
      <c r="D317" s="36"/>
      <c r="E317" s="36"/>
      <c r="F317" s="118">
        <v>0</v>
      </c>
      <c r="G317" s="228"/>
      <c r="H317" s="248"/>
      <c r="I317" s="248"/>
      <c r="J317" s="248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</row>
    <row r="318" spans="1:25" ht="13" x14ac:dyDescent="0.25">
      <c r="A318" s="243"/>
      <c r="B318" s="40" t="s">
        <v>46</v>
      </c>
      <c r="C318" s="41" t="s">
        <v>173</v>
      </c>
      <c r="D318" s="42"/>
      <c r="E318" s="42">
        <f>F318</f>
        <v>0</v>
      </c>
      <c r="F318" s="43">
        <f>F314+(F315*F316*F317)</f>
        <v>0</v>
      </c>
      <c r="G318" s="228"/>
      <c r="H318" s="248"/>
      <c r="I318" s="248"/>
      <c r="J318" s="248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</row>
    <row r="319" spans="1:25" ht="13" hidden="1" x14ac:dyDescent="0.25">
      <c r="A319" s="243" t="s">
        <v>376</v>
      </c>
      <c r="B319" s="21"/>
      <c r="C319" s="33"/>
      <c r="D319" s="23"/>
      <c r="E319" s="23"/>
      <c r="F319" s="28"/>
      <c r="G319" s="228"/>
      <c r="H319" s="248"/>
      <c r="I319" s="248"/>
      <c r="J319" s="248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</row>
    <row r="320" spans="1:25" ht="31" x14ac:dyDescent="0.25">
      <c r="A320" s="243"/>
      <c r="B320" s="209" t="s">
        <v>174</v>
      </c>
      <c r="C320" s="210"/>
      <c r="D320" s="210"/>
      <c r="E320" s="210"/>
      <c r="F320" s="211"/>
      <c r="G320" s="228"/>
      <c r="H320" s="248"/>
      <c r="I320" s="248"/>
      <c r="J320" s="248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</row>
    <row r="321" spans="1:25" ht="13" hidden="1" x14ac:dyDescent="0.25">
      <c r="A321" s="243" t="s">
        <v>376</v>
      </c>
      <c r="B321" s="21"/>
      <c r="C321" s="33"/>
      <c r="D321" s="23"/>
      <c r="E321" s="23"/>
      <c r="F321" s="28"/>
      <c r="G321" s="228"/>
      <c r="H321" s="248"/>
      <c r="I321" s="248"/>
      <c r="J321" s="248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</row>
    <row r="322" spans="1:25" ht="13" hidden="1" x14ac:dyDescent="0.25">
      <c r="A322" s="243" t="s">
        <v>376</v>
      </c>
      <c r="B322" s="21" t="s">
        <v>166</v>
      </c>
      <c r="C322" s="26">
        <v>30</v>
      </c>
      <c r="D322" s="36"/>
      <c r="E322" s="36"/>
      <c r="F322" s="27">
        <v>30</v>
      </c>
      <c r="G322" s="233"/>
      <c r="H322" s="248" t="s">
        <v>167</v>
      </c>
      <c r="I322" s="248"/>
      <c r="J322" s="248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</row>
    <row r="323" spans="1:25" ht="13" x14ac:dyDescent="0.25">
      <c r="A323" s="243"/>
      <c r="B323" s="29" t="s">
        <v>36</v>
      </c>
      <c r="C323" s="30" t="s">
        <v>121</v>
      </c>
      <c r="D323" s="31">
        <f>F323/F22</f>
        <v>0</v>
      </c>
      <c r="E323" s="31"/>
      <c r="F323" s="32">
        <f>IF(F326=0,0,F322)</f>
        <v>0</v>
      </c>
      <c r="G323" s="228"/>
      <c r="H323" s="248"/>
      <c r="I323" s="248"/>
      <c r="J323" s="248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</row>
    <row r="324" spans="1:25" ht="13" hidden="1" x14ac:dyDescent="0.25">
      <c r="A324" s="243" t="s">
        <v>376</v>
      </c>
      <c r="B324" s="21"/>
      <c r="C324" s="33"/>
      <c r="D324" s="23"/>
      <c r="E324" s="23"/>
      <c r="F324" s="28"/>
      <c r="G324" s="228"/>
      <c r="H324" s="248"/>
      <c r="I324" s="248"/>
      <c r="J324" s="248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</row>
    <row r="325" spans="1:25" ht="13" x14ac:dyDescent="0.25">
      <c r="A325" s="243"/>
      <c r="B325" s="21" t="s">
        <v>169</v>
      </c>
      <c r="C325" s="22" t="s">
        <v>175</v>
      </c>
      <c r="D325" s="23"/>
      <c r="E325" s="23"/>
      <c r="F325" s="118">
        <v>0</v>
      </c>
      <c r="G325" s="228"/>
      <c r="H325" s="248"/>
      <c r="I325" s="248"/>
      <c r="J325" s="248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</row>
    <row r="326" spans="1:25" ht="13" x14ac:dyDescent="0.25">
      <c r="A326" s="243"/>
      <c r="B326" s="21" t="s">
        <v>171</v>
      </c>
      <c r="C326" s="22" t="s">
        <v>172</v>
      </c>
      <c r="D326" s="23"/>
      <c r="E326" s="23"/>
      <c r="F326" s="24">
        <v>0</v>
      </c>
      <c r="G326" s="228"/>
      <c r="H326" s="248"/>
      <c r="I326" s="248"/>
      <c r="J326" s="248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</row>
    <row r="327" spans="1:25" ht="13" x14ac:dyDescent="0.25">
      <c r="A327" s="243"/>
      <c r="B327" s="127" t="s">
        <v>297</v>
      </c>
      <c r="C327" s="22"/>
      <c r="D327" s="23"/>
      <c r="E327" s="23"/>
      <c r="F327" s="24">
        <v>0</v>
      </c>
      <c r="G327" s="228"/>
      <c r="H327" s="248"/>
      <c r="I327" s="248"/>
      <c r="J327" s="248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</row>
    <row r="328" spans="1:25" ht="25" x14ac:dyDescent="0.25">
      <c r="A328" s="243"/>
      <c r="B328" s="127" t="s">
        <v>379</v>
      </c>
      <c r="C328" s="26">
        <v>2.5</v>
      </c>
      <c r="D328" s="36"/>
      <c r="E328" s="36"/>
      <c r="F328" s="118">
        <v>0</v>
      </c>
      <c r="G328" s="228"/>
      <c r="H328" s="248"/>
      <c r="I328" s="248"/>
      <c r="J328" s="248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</row>
    <row r="329" spans="1:25" ht="13" x14ac:dyDescent="0.25">
      <c r="A329" s="243"/>
      <c r="B329" s="40" t="s">
        <v>46</v>
      </c>
      <c r="C329" s="41" t="s">
        <v>176</v>
      </c>
      <c r="D329" s="42"/>
      <c r="E329" s="42">
        <f>F329</f>
        <v>0</v>
      </c>
      <c r="F329" s="43">
        <f>F325+(F326*F327*F328)</f>
        <v>0</v>
      </c>
      <c r="G329" s="228"/>
      <c r="H329" s="248"/>
      <c r="I329" s="248"/>
      <c r="J329" s="248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</row>
    <row r="330" spans="1:25" ht="13" hidden="1" x14ac:dyDescent="0.25">
      <c r="A330" s="243" t="s">
        <v>376</v>
      </c>
      <c r="B330" s="21"/>
      <c r="C330" s="33"/>
      <c r="D330" s="23"/>
      <c r="E330" s="23"/>
      <c r="F330" s="28"/>
      <c r="G330" s="228"/>
      <c r="H330" s="248"/>
      <c r="I330" s="248"/>
      <c r="J330" s="248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</row>
    <row r="331" spans="1:25" ht="13" hidden="1" x14ac:dyDescent="0.25">
      <c r="A331" s="243" t="s">
        <v>376</v>
      </c>
      <c r="B331" s="21"/>
      <c r="C331" s="33"/>
      <c r="D331" s="23"/>
      <c r="E331" s="23"/>
      <c r="F331" s="28"/>
      <c r="G331" s="228"/>
      <c r="H331" s="248"/>
      <c r="I331" s="248"/>
      <c r="J331" s="248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</row>
    <row r="332" spans="1:25" ht="31" x14ac:dyDescent="0.25">
      <c r="A332" s="243"/>
      <c r="B332" s="209" t="s">
        <v>313</v>
      </c>
      <c r="C332" s="210"/>
      <c r="D332" s="210"/>
      <c r="E332" s="210"/>
      <c r="F332" s="211"/>
      <c r="G332" s="228"/>
      <c r="H332" s="248"/>
      <c r="I332" s="248"/>
      <c r="J332" s="248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</row>
    <row r="333" spans="1:25" ht="13" hidden="1" x14ac:dyDescent="0.25">
      <c r="A333" s="243" t="s">
        <v>376</v>
      </c>
      <c r="B333" s="69"/>
      <c r="C333" s="33"/>
      <c r="D333" s="23"/>
      <c r="E333" s="23"/>
      <c r="F333" s="28"/>
      <c r="G333" s="228"/>
      <c r="H333" s="248"/>
      <c r="I333" s="248"/>
      <c r="J333" s="248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</row>
    <row r="334" spans="1:25" ht="13" hidden="1" x14ac:dyDescent="0.25">
      <c r="A334" s="243" t="s">
        <v>376</v>
      </c>
      <c r="B334" s="127" t="s">
        <v>314</v>
      </c>
      <c r="C334" s="138"/>
      <c r="D334" s="152"/>
      <c r="E334" s="152"/>
      <c r="F334" s="166">
        <f>F87</f>
        <v>56</v>
      </c>
      <c r="G334" s="228"/>
      <c r="H334" s="248"/>
      <c r="I334" s="248"/>
      <c r="J334" s="248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</row>
    <row r="335" spans="1:25" ht="13" hidden="1" x14ac:dyDescent="0.25">
      <c r="A335" s="243" t="s">
        <v>376</v>
      </c>
      <c r="B335" s="127" t="s">
        <v>315</v>
      </c>
      <c r="C335" s="138"/>
      <c r="D335" s="152"/>
      <c r="E335" s="152"/>
      <c r="F335" s="166">
        <f>F153+F211</f>
        <v>3</v>
      </c>
      <c r="G335" s="228"/>
      <c r="H335" s="248"/>
      <c r="I335" s="248"/>
      <c r="J335" s="248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</row>
    <row r="336" spans="1:25" ht="13" hidden="1" x14ac:dyDescent="0.25">
      <c r="A336" s="243" t="s">
        <v>376</v>
      </c>
      <c r="B336" s="69"/>
      <c r="C336" s="33"/>
      <c r="D336" s="23"/>
      <c r="E336" s="23"/>
      <c r="F336" s="28"/>
      <c r="G336" s="228"/>
      <c r="H336" s="248"/>
      <c r="I336" s="248"/>
      <c r="J336" s="248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</row>
    <row r="337" spans="1:25" ht="13" hidden="1" x14ac:dyDescent="0.25">
      <c r="A337" s="243" t="s">
        <v>376</v>
      </c>
      <c r="B337" s="21" t="s">
        <v>133</v>
      </c>
      <c r="C337" s="37">
        <v>1.4999999999999999E-2</v>
      </c>
      <c r="D337" s="38"/>
      <c r="E337" s="38"/>
      <c r="F337" s="39">
        <v>5.0000000000000001E-3</v>
      </c>
      <c r="G337" s="228"/>
      <c r="H337" s="248"/>
      <c r="I337" s="248"/>
      <c r="J337" s="248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</row>
    <row r="338" spans="1:25" ht="12.75" hidden="1" customHeight="1" x14ac:dyDescent="0.25">
      <c r="A338" s="243" t="s">
        <v>376</v>
      </c>
      <c r="B338" s="127" t="s">
        <v>352</v>
      </c>
      <c r="C338" s="60"/>
      <c r="D338" s="36"/>
      <c r="E338" s="36"/>
      <c r="F338" s="187">
        <f>IF(AND(F334=0,F335=0),0,(IF(F25="YES",F26,0)))</f>
        <v>0.16666</v>
      </c>
      <c r="G338" s="228"/>
      <c r="H338" s="248"/>
      <c r="I338" s="248"/>
      <c r="J338" s="248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</row>
    <row r="339" spans="1:25" ht="13" x14ac:dyDescent="0.25">
      <c r="A339" s="243"/>
      <c r="B339" s="127" t="s">
        <v>400</v>
      </c>
      <c r="C339" s="33"/>
      <c r="D339" s="23"/>
      <c r="E339" s="23"/>
      <c r="F339" s="118">
        <v>0</v>
      </c>
      <c r="G339" s="228"/>
      <c r="H339" s="248" t="s">
        <v>404</v>
      </c>
      <c r="I339" s="248"/>
      <c r="J339" s="248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</row>
    <row r="340" spans="1:25" ht="13" x14ac:dyDescent="0.25">
      <c r="A340" s="243"/>
      <c r="B340" s="40" t="s">
        <v>46</v>
      </c>
      <c r="C340" s="41" t="s">
        <v>134</v>
      </c>
      <c r="D340" s="42"/>
      <c r="E340" s="42">
        <f>F340</f>
        <v>0</v>
      </c>
      <c r="F340" s="43">
        <f>IF(AND(F315=0,F326=0),0,F337*(F334+F335)+F338+F339)</f>
        <v>0</v>
      </c>
      <c r="G340" s="228"/>
      <c r="H340" s="248"/>
      <c r="I340" s="248"/>
      <c r="J340" s="248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</row>
    <row r="341" spans="1:25" ht="13" hidden="1" x14ac:dyDescent="0.25">
      <c r="A341" s="243" t="s">
        <v>376</v>
      </c>
      <c r="B341" s="21"/>
      <c r="C341" s="33"/>
      <c r="D341" s="23"/>
      <c r="E341" s="23"/>
      <c r="F341" s="28"/>
      <c r="G341" s="228"/>
      <c r="H341" s="248"/>
      <c r="I341" s="248"/>
      <c r="J341" s="248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</row>
    <row r="342" spans="1:25" ht="15.5" x14ac:dyDescent="0.25">
      <c r="A342" s="243"/>
      <c r="B342" s="209" t="s">
        <v>182</v>
      </c>
      <c r="C342" s="210"/>
      <c r="D342" s="210"/>
      <c r="E342" s="210"/>
      <c r="F342" s="211"/>
      <c r="G342" s="228"/>
      <c r="H342" s="248"/>
      <c r="I342" s="248"/>
      <c r="J342" s="248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</row>
    <row r="343" spans="1:25" ht="25" x14ac:dyDescent="0.25">
      <c r="A343" s="243"/>
      <c r="B343" s="133" t="s">
        <v>359</v>
      </c>
      <c r="C343" s="30" t="s">
        <v>66</v>
      </c>
      <c r="D343" s="31">
        <f>F343/F22</f>
        <v>0</v>
      </c>
      <c r="E343" s="31"/>
      <c r="F343" s="234">
        <v>0</v>
      </c>
      <c r="G343" s="228"/>
      <c r="H343" s="248" t="s">
        <v>393</v>
      </c>
      <c r="I343" s="248"/>
      <c r="J343" s="248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</row>
    <row r="344" spans="1:25" ht="13" hidden="1" x14ac:dyDescent="0.25">
      <c r="A344" s="243" t="s">
        <v>376</v>
      </c>
      <c r="B344" s="21"/>
      <c r="C344" s="86"/>
      <c r="D344" s="57"/>
      <c r="E344" s="57"/>
      <c r="F344" s="58"/>
      <c r="G344" s="228"/>
      <c r="H344" s="248"/>
      <c r="I344" s="248"/>
      <c r="J344" s="248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</row>
    <row r="345" spans="1:25" ht="13" x14ac:dyDescent="0.25">
      <c r="A345" s="243"/>
      <c r="B345" s="21" t="s">
        <v>183</v>
      </c>
      <c r="C345" s="35" t="s">
        <v>184</v>
      </c>
      <c r="D345" s="23"/>
      <c r="E345" s="23"/>
      <c r="F345" s="121">
        <v>0</v>
      </c>
      <c r="G345" s="228"/>
      <c r="H345" s="248"/>
      <c r="I345" s="248"/>
      <c r="J345" s="248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</row>
    <row r="346" spans="1:25" ht="13" x14ac:dyDescent="0.25">
      <c r="A346" s="243"/>
      <c r="B346" s="40" t="s">
        <v>46</v>
      </c>
      <c r="C346" s="41" t="s">
        <v>185</v>
      </c>
      <c r="D346" s="42"/>
      <c r="E346" s="42">
        <f>F346</f>
        <v>0</v>
      </c>
      <c r="F346" s="43">
        <f>SUM(F345:F345)</f>
        <v>0</v>
      </c>
      <c r="G346" s="228"/>
      <c r="H346" s="248"/>
      <c r="I346" s="248"/>
      <c r="J346" s="248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</row>
    <row r="347" spans="1:25" ht="13" hidden="1" x14ac:dyDescent="0.25">
      <c r="A347" s="243" t="s">
        <v>376</v>
      </c>
      <c r="B347" s="52"/>
      <c r="C347" s="88"/>
      <c r="D347" s="54"/>
      <c r="E347" s="54"/>
      <c r="F347" s="55"/>
      <c r="G347" s="228"/>
      <c r="H347" s="248"/>
      <c r="I347" s="248"/>
      <c r="J347" s="248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</row>
    <row r="348" spans="1:25" ht="13" hidden="1" x14ac:dyDescent="0.25">
      <c r="A348" s="243" t="s">
        <v>376</v>
      </c>
      <c r="B348" s="52"/>
      <c r="C348" s="88"/>
      <c r="D348" s="54"/>
      <c r="E348" s="54"/>
      <c r="F348" s="55"/>
      <c r="G348" s="228"/>
      <c r="H348" s="248"/>
      <c r="I348" s="248"/>
      <c r="J348" s="248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</row>
    <row r="349" spans="1:25" ht="15.5" x14ac:dyDescent="0.25">
      <c r="A349" s="243"/>
      <c r="B349" s="209" t="s">
        <v>186</v>
      </c>
      <c r="C349" s="210"/>
      <c r="D349" s="210"/>
      <c r="E349" s="210"/>
      <c r="F349" s="211"/>
      <c r="G349" s="228"/>
      <c r="H349" s="248"/>
      <c r="I349" s="248"/>
      <c r="J349" s="248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</row>
    <row r="350" spans="1:25" ht="13" hidden="1" x14ac:dyDescent="0.25">
      <c r="A350" s="243" t="s">
        <v>376</v>
      </c>
      <c r="B350" s="21"/>
      <c r="C350" s="86"/>
      <c r="D350" s="57"/>
      <c r="E350" s="57"/>
      <c r="F350" s="58"/>
      <c r="G350" s="228"/>
      <c r="H350" s="248"/>
      <c r="I350" s="248"/>
      <c r="J350" s="248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</row>
    <row r="351" spans="1:25" ht="13" x14ac:dyDescent="0.25">
      <c r="A351" s="243"/>
      <c r="B351" s="21" t="s">
        <v>187</v>
      </c>
      <c r="C351" s="22" t="s">
        <v>188</v>
      </c>
      <c r="D351" s="23"/>
      <c r="E351" s="23"/>
      <c r="F351" s="89">
        <v>60</v>
      </c>
      <c r="G351" s="232"/>
      <c r="H351" s="248"/>
      <c r="I351" s="248"/>
      <c r="J351" s="248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</row>
    <row r="352" spans="1:25" ht="13" hidden="1" x14ac:dyDescent="0.25">
      <c r="A352" s="243" t="s">
        <v>376</v>
      </c>
      <c r="B352" s="21" t="s">
        <v>189</v>
      </c>
      <c r="C352" s="33" t="s">
        <v>190</v>
      </c>
      <c r="D352" s="23"/>
      <c r="E352" s="23"/>
      <c r="F352" s="39">
        <v>0.5</v>
      </c>
      <c r="G352" s="228"/>
      <c r="H352" s="248"/>
      <c r="I352" s="248"/>
      <c r="J352" s="248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</row>
    <row r="353" spans="1:25" ht="25" hidden="1" x14ac:dyDescent="0.25">
      <c r="A353" s="243" t="s">
        <v>376</v>
      </c>
      <c r="B353" s="127" t="s">
        <v>301</v>
      </c>
      <c r="C353" s="90">
        <v>0.01</v>
      </c>
      <c r="D353" s="23"/>
      <c r="E353" s="23"/>
      <c r="F353" s="50">
        <v>0.01</v>
      </c>
      <c r="G353" s="228"/>
      <c r="H353" s="248"/>
      <c r="I353" s="248"/>
      <c r="J353" s="248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</row>
    <row r="354" spans="1:25" ht="25" hidden="1" x14ac:dyDescent="0.25">
      <c r="A354" s="243" t="s">
        <v>376</v>
      </c>
      <c r="B354" s="153" t="s">
        <v>302</v>
      </c>
      <c r="C354" s="154">
        <v>0.01</v>
      </c>
      <c r="D354" s="155"/>
      <c r="E354" s="155"/>
      <c r="F354" s="156">
        <v>0.02</v>
      </c>
      <c r="G354" s="228"/>
      <c r="H354" s="248"/>
      <c r="I354" s="248"/>
      <c r="J354" s="248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</row>
    <row r="355" spans="1:25" ht="12.75" hidden="1" customHeight="1" x14ac:dyDescent="0.25">
      <c r="A355" s="243" t="s">
        <v>376</v>
      </c>
      <c r="B355" s="127" t="s">
        <v>352</v>
      </c>
      <c r="C355" s="60"/>
      <c r="D355" s="36"/>
      <c r="E355" s="36"/>
      <c r="F355" s="187">
        <f>IF(F351=0,0,(IF(F25="YES",F26,0)))</f>
        <v>0.16666</v>
      </c>
      <c r="G355" s="228"/>
      <c r="H355" s="248"/>
      <c r="I355" s="248"/>
      <c r="J355" s="248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</row>
    <row r="356" spans="1:25" ht="13" x14ac:dyDescent="0.25">
      <c r="A356" s="243"/>
      <c r="B356" s="21" t="s">
        <v>248</v>
      </c>
      <c r="C356" s="151" t="s">
        <v>305</v>
      </c>
      <c r="D356" s="23"/>
      <c r="E356" s="23"/>
      <c r="F356" s="116">
        <v>0.2</v>
      </c>
      <c r="G356" s="228"/>
      <c r="H356" s="248" t="s">
        <v>394</v>
      </c>
      <c r="I356" s="248"/>
      <c r="J356" s="248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</row>
    <row r="357" spans="1:25" ht="13" x14ac:dyDescent="0.25">
      <c r="A357" s="243"/>
      <c r="B357" s="127" t="s">
        <v>406</v>
      </c>
      <c r="C357" s="33"/>
      <c r="D357" s="23"/>
      <c r="E357" s="23"/>
      <c r="F357" s="118">
        <v>1</v>
      </c>
      <c r="G357" s="228"/>
      <c r="H357" s="248" t="s">
        <v>405</v>
      </c>
      <c r="I357" s="248"/>
      <c r="J357" s="248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</row>
    <row r="358" spans="1:25" ht="13" x14ac:dyDescent="0.25">
      <c r="A358" s="243"/>
      <c r="B358" s="144" t="s">
        <v>303</v>
      </c>
      <c r="C358" s="145" t="s">
        <v>192</v>
      </c>
      <c r="D358" s="42"/>
      <c r="E358" s="42">
        <f>IF(F23="Class 2",F358,0)</f>
        <v>1.38666</v>
      </c>
      <c r="F358" s="43">
        <f>IF(F351=0,0,(F352+F351*F353)*F356+F355+F357)</f>
        <v>1.38666</v>
      </c>
      <c r="G358" s="228"/>
      <c r="H358" s="248"/>
      <c r="I358" s="248"/>
      <c r="J358" s="248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</row>
    <row r="359" spans="1:25" ht="13" x14ac:dyDescent="0.25">
      <c r="A359" s="243"/>
      <c r="B359" s="147" t="s">
        <v>304</v>
      </c>
      <c r="C359" s="148" t="s">
        <v>192</v>
      </c>
      <c r="D359" s="149"/>
      <c r="E359" s="149">
        <f>IF(F23="Class 3",F359,0)</f>
        <v>0</v>
      </c>
      <c r="F359" s="150">
        <f>IF(F351=0,0,(F352+F351*F354)*F356+F355+F357)</f>
        <v>1.5066600000000001</v>
      </c>
      <c r="G359" s="228"/>
      <c r="H359" s="248"/>
      <c r="I359" s="248"/>
      <c r="J359" s="248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</row>
    <row r="360" spans="1:25" ht="13" hidden="1" x14ac:dyDescent="0.25">
      <c r="A360" s="243" t="s">
        <v>376</v>
      </c>
      <c r="B360" s="21"/>
      <c r="C360" s="33"/>
      <c r="D360" s="23"/>
      <c r="E360" s="23"/>
      <c r="F360" s="28"/>
      <c r="G360" s="228"/>
      <c r="H360" s="248"/>
      <c r="I360" s="248"/>
      <c r="J360" s="248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</row>
    <row r="361" spans="1:25" ht="13" hidden="1" x14ac:dyDescent="0.25">
      <c r="A361" s="243" t="s">
        <v>376</v>
      </c>
      <c r="B361" s="21"/>
      <c r="C361" s="33"/>
      <c r="D361" s="23"/>
      <c r="E361" s="23"/>
      <c r="F361" s="28"/>
      <c r="G361" s="228"/>
      <c r="H361" s="248"/>
      <c r="I361" s="248"/>
      <c r="J361" s="248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</row>
    <row r="362" spans="1:25" ht="15.5" hidden="1" x14ac:dyDescent="0.25">
      <c r="A362" s="243" t="s">
        <v>376</v>
      </c>
      <c r="B362" s="209" t="s">
        <v>193</v>
      </c>
      <c r="C362" s="210"/>
      <c r="D362" s="210"/>
      <c r="E362" s="210"/>
      <c r="F362" s="211"/>
      <c r="G362" s="228"/>
      <c r="H362" s="248"/>
      <c r="I362" s="248"/>
      <c r="J362" s="248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</row>
    <row r="363" spans="1:25" ht="13" hidden="1" x14ac:dyDescent="0.25">
      <c r="A363" s="243" t="s">
        <v>376</v>
      </c>
      <c r="B363" s="21"/>
      <c r="C363" s="86"/>
      <c r="D363" s="57"/>
      <c r="E363" s="57"/>
      <c r="F363" s="58"/>
      <c r="G363" s="228"/>
      <c r="H363" s="248"/>
      <c r="I363" s="248"/>
      <c r="J363" s="248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</row>
    <row r="364" spans="1:25" ht="13" hidden="1" x14ac:dyDescent="0.25">
      <c r="A364" s="243" t="s">
        <v>376</v>
      </c>
      <c r="B364" s="21" t="s">
        <v>187</v>
      </c>
      <c r="C364" s="33" t="s">
        <v>188</v>
      </c>
      <c r="D364" s="23"/>
      <c r="E364" s="23"/>
      <c r="F364" s="28">
        <f>F351</f>
        <v>60</v>
      </c>
      <c r="G364" s="228"/>
      <c r="H364" s="248"/>
      <c r="I364" s="248"/>
      <c r="J364" s="248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</row>
    <row r="365" spans="1:25" ht="13" hidden="1" x14ac:dyDescent="0.25">
      <c r="A365" s="243" t="s">
        <v>376</v>
      </c>
      <c r="B365" s="21" t="s">
        <v>189</v>
      </c>
      <c r="C365" s="33" t="s">
        <v>190</v>
      </c>
      <c r="D365" s="23"/>
      <c r="E365" s="23"/>
      <c r="F365" s="39">
        <v>0.5</v>
      </c>
      <c r="G365" s="228"/>
      <c r="H365" s="248"/>
      <c r="I365" s="248"/>
      <c r="J365" s="248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</row>
    <row r="366" spans="1:25" ht="25" hidden="1" x14ac:dyDescent="0.25">
      <c r="A366" s="243" t="s">
        <v>376</v>
      </c>
      <c r="B366" s="21" t="s">
        <v>191</v>
      </c>
      <c r="C366" s="90">
        <v>3.0000000000000001E-3</v>
      </c>
      <c r="D366" s="23"/>
      <c r="E366" s="23"/>
      <c r="F366" s="50">
        <v>3.0000000000000001E-3</v>
      </c>
      <c r="G366" s="228"/>
      <c r="H366" s="248"/>
      <c r="I366" s="248"/>
      <c r="J366" s="248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</row>
    <row r="367" spans="1:25" ht="13" hidden="1" x14ac:dyDescent="0.25">
      <c r="A367" s="243" t="s">
        <v>376</v>
      </c>
      <c r="B367" s="21" t="s">
        <v>194</v>
      </c>
      <c r="C367" s="91">
        <v>0.2</v>
      </c>
      <c r="D367" s="92"/>
      <c r="E367" s="92"/>
      <c r="F367" s="87">
        <v>0.2</v>
      </c>
      <c r="G367" s="228"/>
      <c r="H367" s="248"/>
      <c r="I367" s="248"/>
      <c r="J367" s="248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</row>
    <row r="368" spans="1:25" ht="12.75" hidden="1" customHeight="1" x14ac:dyDescent="0.25">
      <c r="A368" s="243" t="s">
        <v>376</v>
      </c>
      <c r="B368" s="127" t="s">
        <v>352</v>
      </c>
      <c r="C368" s="60"/>
      <c r="D368" s="36"/>
      <c r="E368" s="36"/>
      <c r="F368" s="187">
        <f>IF(F364=0,0,(IF(F25="YES",F26,0)))</f>
        <v>0.16666</v>
      </c>
      <c r="G368" s="228"/>
      <c r="H368" s="248"/>
      <c r="I368" s="248"/>
      <c r="J368" s="248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</row>
    <row r="369" spans="1:25" ht="13" hidden="1" x14ac:dyDescent="0.25">
      <c r="A369" s="243" t="s">
        <v>376</v>
      </c>
      <c r="B369" s="40" t="s">
        <v>46</v>
      </c>
      <c r="C369" s="41" t="s">
        <v>195</v>
      </c>
      <c r="D369" s="42"/>
      <c r="E369" s="42"/>
      <c r="F369" s="43">
        <f>IF(F364=0,0,(F365+F364*F366)*F367+F368)</f>
        <v>0.30265999999999998</v>
      </c>
      <c r="G369" s="228"/>
      <c r="H369" s="248" t="s">
        <v>407</v>
      </c>
      <c r="I369" s="248"/>
      <c r="J369" s="248"/>
      <c r="L369" s="34"/>
      <c r="M369" s="163"/>
      <c r="N369" s="163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</row>
    <row r="370" spans="1:25" ht="13" hidden="1" x14ac:dyDescent="0.25">
      <c r="A370" s="243" t="s">
        <v>376</v>
      </c>
      <c r="B370" s="21"/>
      <c r="C370" s="33"/>
      <c r="D370" s="23"/>
      <c r="E370" s="23"/>
      <c r="F370" s="28"/>
      <c r="G370" s="228"/>
      <c r="H370" s="248"/>
      <c r="I370" s="248"/>
      <c r="J370" s="248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</row>
    <row r="371" spans="1:25" ht="13" hidden="1" x14ac:dyDescent="0.25">
      <c r="A371" s="243" t="s">
        <v>376</v>
      </c>
      <c r="B371" s="21"/>
      <c r="C371" s="33"/>
      <c r="D371" s="23"/>
      <c r="E371" s="23"/>
      <c r="F371" s="28"/>
      <c r="G371" s="228"/>
      <c r="H371" s="248"/>
      <c r="I371" s="248"/>
      <c r="J371" s="248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</row>
    <row r="372" spans="1:25" ht="15.5" x14ac:dyDescent="0.25">
      <c r="A372" s="243"/>
      <c r="B372" s="209" t="s">
        <v>321</v>
      </c>
      <c r="C372" s="210"/>
      <c r="D372" s="210"/>
      <c r="E372" s="210"/>
      <c r="F372" s="211"/>
      <c r="G372" s="228"/>
      <c r="H372" s="248"/>
      <c r="I372" s="248"/>
      <c r="J372" s="248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</row>
    <row r="373" spans="1:25" ht="13" x14ac:dyDescent="0.25">
      <c r="A373" s="243"/>
      <c r="B373" s="136" t="s">
        <v>323</v>
      </c>
      <c r="C373" s="139"/>
      <c r="D373" s="135"/>
      <c r="E373" s="135"/>
      <c r="F373" s="140" t="s">
        <v>208</v>
      </c>
      <c r="G373" s="228"/>
      <c r="H373" s="248"/>
      <c r="I373" s="248"/>
      <c r="J373" s="248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</row>
    <row r="374" spans="1:25" ht="13" hidden="1" x14ac:dyDescent="0.25">
      <c r="A374" s="243" t="s">
        <v>376</v>
      </c>
      <c r="B374" s="127" t="s">
        <v>320</v>
      </c>
      <c r="C374" s="26">
        <v>5</v>
      </c>
      <c r="D374" s="36"/>
      <c r="E374" s="36"/>
      <c r="F374" s="27">
        <v>10</v>
      </c>
      <c r="G374" s="228"/>
      <c r="H374" s="248"/>
      <c r="I374" s="248"/>
      <c r="J374" s="248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</row>
    <row r="375" spans="1:25" ht="13" x14ac:dyDescent="0.25">
      <c r="A375" s="243"/>
      <c r="B375" s="133" t="s">
        <v>318</v>
      </c>
      <c r="C375" s="30" t="s">
        <v>198</v>
      </c>
      <c r="D375" s="31">
        <f>F375/F22</f>
        <v>0</v>
      </c>
      <c r="E375" s="31"/>
      <c r="F375" s="32">
        <f>IF(F373="NO",0,F374)</f>
        <v>0</v>
      </c>
      <c r="G375" s="228"/>
      <c r="H375" s="248"/>
      <c r="I375" s="248"/>
      <c r="J375" s="248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</row>
    <row r="376" spans="1:25" ht="13" hidden="1" x14ac:dyDescent="0.25">
      <c r="A376" s="243" t="s">
        <v>376</v>
      </c>
      <c r="B376" s="21"/>
      <c r="C376" s="33"/>
      <c r="D376" s="23"/>
      <c r="E376" s="23"/>
      <c r="F376" s="28"/>
      <c r="G376" s="228"/>
      <c r="H376" s="248"/>
      <c r="I376" s="248"/>
      <c r="J376" s="248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</row>
    <row r="377" spans="1:25" ht="13" x14ac:dyDescent="0.25">
      <c r="A377" s="243"/>
      <c r="B377" s="144" t="s">
        <v>322</v>
      </c>
      <c r="C377" s="44"/>
      <c r="D377" s="42"/>
      <c r="E377" s="42">
        <f>F377</f>
        <v>0</v>
      </c>
      <c r="F377" s="118">
        <v>0</v>
      </c>
      <c r="G377" s="228"/>
      <c r="H377" s="248"/>
      <c r="I377" s="248"/>
      <c r="J377" s="248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</row>
    <row r="378" spans="1:25" ht="15.5" x14ac:dyDescent="0.25">
      <c r="A378" s="243"/>
      <c r="B378" s="209" t="s">
        <v>336</v>
      </c>
      <c r="C378" s="210"/>
      <c r="D378" s="210"/>
      <c r="E378" s="210"/>
      <c r="F378" s="211"/>
      <c r="G378" s="228"/>
      <c r="H378" s="248"/>
      <c r="I378" s="248"/>
      <c r="J378" s="248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</row>
    <row r="379" spans="1:25" ht="13" hidden="1" x14ac:dyDescent="0.25">
      <c r="A379" s="243" t="s">
        <v>376</v>
      </c>
      <c r="B379" s="21"/>
      <c r="C379" s="33"/>
      <c r="D379" s="33"/>
      <c r="E379" s="33"/>
      <c r="F379" s="28"/>
      <c r="G379" s="228"/>
      <c r="H379" s="248"/>
      <c r="I379" s="248"/>
      <c r="J379" s="248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</row>
    <row r="380" spans="1:25" ht="13" x14ac:dyDescent="0.25">
      <c r="A380" s="243"/>
      <c r="B380" s="127" t="s">
        <v>354</v>
      </c>
      <c r="C380" s="33"/>
      <c r="D380" s="23"/>
      <c r="E380" s="23"/>
      <c r="F380" s="118">
        <v>1</v>
      </c>
      <c r="G380" s="228"/>
      <c r="H380" s="248" t="s">
        <v>395</v>
      </c>
      <c r="I380" s="248"/>
      <c r="J380" s="248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</row>
    <row r="381" spans="1:25" ht="12.75" hidden="1" customHeight="1" x14ac:dyDescent="0.25">
      <c r="A381" s="243" t="s">
        <v>376</v>
      </c>
      <c r="B381" s="127" t="s">
        <v>352</v>
      </c>
      <c r="C381" s="60"/>
      <c r="D381" s="36"/>
      <c r="E381" s="36"/>
      <c r="F381" s="187">
        <f>IF(F380=0,0,(IF(F25="YES",F26,0)))</f>
        <v>0.16666</v>
      </c>
      <c r="G381" s="228"/>
      <c r="H381" s="248"/>
      <c r="I381" s="248"/>
      <c r="J381" s="248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</row>
    <row r="382" spans="1:25" ht="13" x14ac:dyDescent="0.25">
      <c r="A382" s="243"/>
      <c r="B382" s="40" t="s">
        <v>46</v>
      </c>
      <c r="C382" s="41" t="s">
        <v>195</v>
      </c>
      <c r="D382" s="42"/>
      <c r="E382" s="42">
        <f>F382</f>
        <v>1.16666</v>
      </c>
      <c r="F382" s="43">
        <f>F381+F380</f>
        <v>1.16666</v>
      </c>
      <c r="G382" s="228"/>
      <c r="H382" s="248"/>
      <c r="I382" s="248"/>
      <c r="J382" s="248"/>
      <c r="L382" s="34"/>
      <c r="M382" s="163"/>
      <c r="N382" s="163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</row>
    <row r="383" spans="1:25" ht="13" hidden="1" x14ac:dyDescent="0.25">
      <c r="A383" s="243" t="s">
        <v>376</v>
      </c>
      <c r="B383" s="21"/>
      <c r="C383" s="33"/>
      <c r="D383" s="33"/>
      <c r="E383" s="33"/>
      <c r="F383" s="28"/>
      <c r="G383" s="228"/>
      <c r="H383" s="248"/>
      <c r="I383" s="248"/>
      <c r="J383" s="248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</row>
    <row r="384" spans="1:25" ht="15.5" x14ac:dyDescent="0.25">
      <c r="A384" s="243"/>
      <c r="B384" s="209" t="s">
        <v>196</v>
      </c>
      <c r="C384" s="210"/>
      <c r="D384" s="210"/>
      <c r="E384" s="210"/>
      <c r="F384" s="211"/>
      <c r="G384" s="228"/>
      <c r="H384" s="248"/>
      <c r="I384" s="248"/>
      <c r="J384" s="248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</row>
    <row r="385" spans="1:25" ht="13" hidden="1" x14ac:dyDescent="0.25">
      <c r="A385" s="243" t="s">
        <v>376</v>
      </c>
      <c r="B385" s="127" t="s">
        <v>319</v>
      </c>
      <c r="C385" s="26">
        <v>5</v>
      </c>
      <c r="D385" s="36"/>
      <c r="E385" s="36"/>
      <c r="F385" s="27">
        <v>5</v>
      </c>
      <c r="G385" s="228"/>
      <c r="H385" s="248"/>
      <c r="I385" s="248"/>
      <c r="J385" s="248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</row>
    <row r="386" spans="1:25" ht="13" x14ac:dyDescent="0.25">
      <c r="A386" s="243"/>
      <c r="B386" s="29" t="s">
        <v>197</v>
      </c>
      <c r="C386" s="30" t="s">
        <v>198</v>
      </c>
      <c r="D386" s="31">
        <f>F386/F22</f>
        <v>0.05</v>
      </c>
      <c r="E386" s="31"/>
      <c r="F386" s="32">
        <f>IF(F351=0,0,F385)</f>
        <v>5</v>
      </c>
      <c r="G386" s="228"/>
      <c r="H386" s="248"/>
      <c r="I386" s="248"/>
      <c r="J386" s="248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</row>
    <row r="387" spans="1:25" ht="13" hidden="1" x14ac:dyDescent="0.25">
      <c r="A387" s="243" t="s">
        <v>376</v>
      </c>
      <c r="B387" s="21"/>
      <c r="C387" s="33"/>
      <c r="D387" s="23"/>
      <c r="E387" s="23"/>
      <c r="F387" s="28"/>
      <c r="G387" s="228"/>
      <c r="H387" s="248"/>
      <c r="I387" s="248"/>
      <c r="J387" s="248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</row>
    <row r="388" spans="1:25" ht="13.5" thickBot="1" x14ac:dyDescent="0.3">
      <c r="A388" s="243"/>
      <c r="B388" s="93" t="s">
        <v>199</v>
      </c>
      <c r="C388" s="94"/>
      <c r="D388" s="95"/>
      <c r="E388" s="95">
        <f>F388</f>
        <v>0</v>
      </c>
      <c r="F388" s="119">
        <v>0</v>
      </c>
      <c r="G388" s="228"/>
      <c r="H388" s="248" t="s">
        <v>396</v>
      </c>
      <c r="I388" s="248"/>
      <c r="J388" s="248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</row>
    <row r="389" spans="1:25" x14ac:dyDescent="0.25">
      <c r="A389" s="243"/>
      <c r="G389" s="19"/>
      <c r="H389" s="19"/>
      <c r="I389" s="19"/>
      <c r="J389" s="19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</row>
    <row r="390" spans="1:25" ht="16" thickBot="1" x14ac:dyDescent="0.3">
      <c r="A390" s="243"/>
      <c r="B390" s="97"/>
      <c r="C390" s="98"/>
      <c r="D390" s="98"/>
      <c r="E390" s="98"/>
      <c r="F390" s="98"/>
      <c r="G390" s="19"/>
      <c r="H390" s="19"/>
      <c r="I390" s="19"/>
      <c r="J390" s="19"/>
      <c r="L390" s="34"/>
      <c r="M390" s="34"/>
      <c r="N390" s="34"/>
      <c r="O390" s="34"/>
      <c r="P390" s="34"/>
      <c r="Q390" s="34"/>
      <c r="R390" s="34"/>
      <c r="S390" s="34"/>
      <c r="T390" s="34"/>
      <c r="V390" s="34"/>
      <c r="W390" s="34"/>
      <c r="X390" s="34"/>
      <c r="Y390" s="34"/>
    </row>
    <row r="391" spans="1:25" ht="13" thickTop="1" x14ac:dyDescent="0.25">
      <c r="G391" s="10"/>
      <c r="H391" s="10"/>
      <c r="I391" s="10"/>
      <c r="J391" s="10"/>
    </row>
    <row r="392" spans="1:25" s="191" customFormat="1" ht="26" x14ac:dyDescent="0.25">
      <c r="A392" s="241"/>
      <c r="B392" s="182" t="s">
        <v>209</v>
      </c>
      <c r="C392" s="183" t="s">
        <v>210</v>
      </c>
      <c r="D392" s="263" t="s">
        <v>442</v>
      </c>
      <c r="E392" s="263" t="s">
        <v>443</v>
      </c>
      <c r="F392" s="182" t="s">
        <v>445</v>
      </c>
      <c r="G392" s="184" t="s">
        <v>316</v>
      </c>
      <c r="H392" s="247"/>
      <c r="I392" s="247"/>
      <c r="J392" s="247"/>
      <c r="K392" s="301" t="s">
        <v>269</v>
      </c>
      <c r="L392" s="301"/>
    </row>
    <row r="393" spans="1:25" s="191" customFormat="1" ht="12" customHeight="1" x14ac:dyDescent="0.25">
      <c r="A393" s="241"/>
      <c r="B393" s="217">
        <v>10</v>
      </c>
      <c r="C393" s="225" t="s">
        <v>211</v>
      </c>
      <c r="D393" s="226"/>
      <c r="E393" s="218">
        <f>KITTING*(1)</f>
        <v>0.83</v>
      </c>
      <c r="F393" s="262">
        <f>D393+E393</f>
        <v>0.83</v>
      </c>
      <c r="G393" s="219">
        <f>IF(E393=0,0,60/E393)</f>
        <v>72.289156626506028</v>
      </c>
      <c r="H393" s="245"/>
      <c r="I393" s="245"/>
      <c r="J393" s="245"/>
      <c r="K393" s="302" t="s">
        <v>225</v>
      </c>
      <c r="L393" s="302"/>
    </row>
    <row r="394" spans="1:25" s="191" customFormat="1" ht="12" customHeight="1" x14ac:dyDescent="0.25">
      <c r="A394" s="241"/>
      <c r="B394" s="217">
        <v>20</v>
      </c>
      <c r="C394" s="225" t="s">
        <v>26</v>
      </c>
      <c r="D394" s="220">
        <f>D42</f>
        <v>0.15</v>
      </c>
      <c r="E394" s="218">
        <f>E46</f>
        <v>0.15</v>
      </c>
      <c r="F394" s="262">
        <f t="shared" ref="F394:F415" si="3">D394+E394</f>
        <v>0.3</v>
      </c>
      <c r="G394" s="219">
        <f>IF(E394=0,0,60/E394)</f>
        <v>400</v>
      </c>
      <c r="H394" s="245"/>
      <c r="I394" s="245"/>
      <c r="J394" s="245"/>
      <c r="K394" s="302" t="s">
        <v>335</v>
      </c>
      <c r="L394" s="302"/>
    </row>
    <row r="395" spans="1:25" s="191" customFormat="1" ht="12" customHeight="1" x14ac:dyDescent="0.25">
      <c r="A395" s="241"/>
      <c r="B395" s="217">
        <v>30</v>
      </c>
      <c r="C395" s="225" t="s">
        <v>214</v>
      </c>
      <c r="D395" s="220">
        <f>D51+PREPSETUP</f>
        <v>0.04</v>
      </c>
      <c r="E395" s="218">
        <f>PREP+PREPSPEC</f>
        <v>0.2</v>
      </c>
      <c r="F395" s="262">
        <f t="shared" si="3"/>
        <v>0.24000000000000002</v>
      </c>
      <c r="G395" s="219">
        <f>IF(E395=0,0,60/E395)</f>
        <v>300</v>
      </c>
      <c r="H395" s="245"/>
      <c r="I395" s="245"/>
      <c r="J395" s="245"/>
      <c r="K395" s="303" t="s">
        <v>422</v>
      </c>
      <c r="L395" s="303"/>
    </row>
    <row r="396" spans="1:25" s="191" customFormat="1" ht="12" customHeight="1" x14ac:dyDescent="0.25">
      <c r="A396" s="241"/>
      <c r="B396" s="217">
        <v>40</v>
      </c>
      <c r="C396" s="225" t="s">
        <v>215</v>
      </c>
      <c r="D396" s="220">
        <f>D65</f>
        <v>0</v>
      </c>
      <c r="E396" s="218">
        <f>PROG</f>
        <v>0</v>
      </c>
      <c r="F396" s="262">
        <f t="shared" si="3"/>
        <v>0</v>
      </c>
      <c r="G396" s="219">
        <f>IF(E396=0,0,60/E396)</f>
        <v>0</v>
      </c>
      <c r="H396" s="245"/>
      <c r="I396" s="245"/>
      <c r="J396" s="245"/>
      <c r="K396" s="303" t="s">
        <v>423</v>
      </c>
      <c r="L396" s="303"/>
    </row>
    <row r="397" spans="1:25" s="191" customFormat="1" ht="12" customHeight="1" x14ac:dyDescent="0.25">
      <c r="A397" s="241"/>
      <c r="B397" s="217">
        <v>50</v>
      </c>
      <c r="C397" s="225" t="s">
        <v>216</v>
      </c>
      <c r="D397" s="220">
        <f>SMTSETUP</f>
        <v>2.6130013333333331</v>
      </c>
      <c r="E397" s="218">
        <f>SMTTS+E111+SMTQA+E147</f>
        <v>2.8395699999999997</v>
      </c>
      <c r="F397" s="262">
        <f t="shared" si="3"/>
        <v>5.4525713333333332</v>
      </c>
      <c r="G397" s="219">
        <f>IF(E397=0,0,(60/E397)/F100)</f>
        <v>10.564979908929875</v>
      </c>
      <c r="H397" s="173" t="s">
        <v>317</v>
      </c>
      <c r="I397" s="173"/>
      <c r="J397" s="173"/>
      <c r="K397" s="302" t="s">
        <v>426</v>
      </c>
      <c r="L397" s="302"/>
    </row>
    <row r="398" spans="1:25" s="191" customFormat="1" ht="12" customHeight="1" x14ac:dyDescent="0.25">
      <c r="A398" s="241"/>
      <c r="B398" s="217">
        <v>55</v>
      </c>
      <c r="C398" s="225" t="s">
        <v>217</v>
      </c>
      <c r="D398" s="226"/>
      <c r="E398" s="218">
        <f>SMTBS+E113</f>
        <v>0.45206999999999997</v>
      </c>
      <c r="F398" s="262">
        <f t="shared" si="3"/>
        <v>0.45206999999999997</v>
      </c>
      <c r="G398" s="219">
        <f>IF(E398=0,0,(60/E398)/F100)</f>
        <v>66.361404207313029</v>
      </c>
      <c r="H398" s="173" t="s">
        <v>317</v>
      </c>
      <c r="I398" s="173"/>
      <c r="J398" s="173"/>
      <c r="K398" s="302" t="s">
        <v>370</v>
      </c>
      <c r="L398" s="302"/>
    </row>
    <row r="399" spans="1:25" s="191" customFormat="1" ht="12" customHeight="1" x14ac:dyDescent="0.25">
      <c r="A399" s="241"/>
      <c r="B399" s="217">
        <v>60</v>
      </c>
      <c r="C399" s="225" t="s">
        <v>327</v>
      </c>
      <c r="D399" s="220">
        <f>D118</f>
        <v>0.15</v>
      </c>
      <c r="E399" s="218">
        <f>E124</f>
        <v>0.76666000000000012</v>
      </c>
      <c r="F399" s="262">
        <f t="shared" si="3"/>
        <v>0.91666000000000014</v>
      </c>
      <c r="G399" s="219">
        <f t="shared" ref="G399:G414" si="4">IF(E399=0,0,60/E399)</f>
        <v>78.261550100435642</v>
      </c>
      <c r="H399" s="245"/>
      <c r="I399" s="245"/>
      <c r="J399" s="245"/>
      <c r="K399" s="303" t="s">
        <v>330</v>
      </c>
      <c r="L399" s="303"/>
    </row>
    <row r="400" spans="1:25" s="191" customFormat="1" ht="12" customHeight="1" x14ac:dyDescent="0.25">
      <c r="A400" s="241"/>
      <c r="B400" s="217">
        <v>65</v>
      </c>
      <c r="C400" s="225" t="s">
        <v>325</v>
      </c>
      <c r="D400" s="220">
        <f>D130</f>
        <v>0.25</v>
      </c>
      <c r="E400" s="218">
        <f>E135</f>
        <v>0.83332000000000006</v>
      </c>
      <c r="F400" s="262">
        <f t="shared" si="3"/>
        <v>1.0833200000000001</v>
      </c>
      <c r="G400" s="219">
        <f t="shared" si="4"/>
        <v>72.001152018432293</v>
      </c>
      <c r="H400" s="245"/>
      <c r="I400" s="245"/>
      <c r="J400" s="245"/>
      <c r="K400" s="303" t="s">
        <v>331</v>
      </c>
      <c r="L400" s="303"/>
    </row>
    <row r="401" spans="1:12" s="191" customFormat="1" ht="12" customHeight="1" x14ac:dyDescent="0.25">
      <c r="A401" s="241"/>
      <c r="B401" s="217">
        <v>70</v>
      </c>
      <c r="C401" s="225" t="s">
        <v>326</v>
      </c>
      <c r="D401" s="220">
        <f>D150+ScrewSETUP</f>
        <v>0</v>
      </c>
      <c r="E401" s="218">
        <f>PTHLoad+Screw</f>
        <v>0</v>
      </c>
      <c r="F401" s="262">
        <f t="shared" si="3"/>
        <v>0</v>
      </c>
      <c r="G401" s="219">
        <f t="shared" si="4"/>
        <v>0</v>
      </c>
      <c r="H401" s="245"/>
      <c r="I401" s="245"/>
      <c r="J401" s="245"/>
      <c r="K401" s="303" t="s">
        <v>427</v>
      </c>
      <c r="L401" s="303"/>
    </row>
    <row r="402" spans="1:12" s="191" customFormat="1" ht="12" customHeight="1" x14ac:dyDescent="0.25">
      <c r="A402" s="241"/>
      <c r="B402" s="217">
        <v>80</v>
      </c>
      <c r="C402" s="225" t="s">
        <v>328</v>
      </c>
      <c r="D402" s="220">
        <f>SelectiveSETUP</f>
        <v>0</v>
      </c>
      <c r="E402" s="218">
        <f>Selective</f>
        <v>0</v>
      </c>
      <c r="F402" s="262">
        <f t="shared" si="3"/>
        <v>0</v>
      </c>
      <c r="G402" s="219">
        <f t="shared" si="4"/>
        <v>0</v>
      </c>
      <c r="H402" s="245"/>
      <c r="I402" s="245"/>
      <c r="J402" s="245"/>
      <c r="K402" s="303" t="s">
        <v>333</v>
      </c>
      <c r="L402" s="303"/>
    </row>
    <row r="403" spans="1:12" s="191" customFormat="1" ht="12" customHeight="1" x14ac:dyDescent="0.25">
      <c r="A403" s="241"/>
      <c r="B403" s="217">
        <v>90</v>
      </c>
      <c r="C403" s="225" t="s">
        <v>324</v>
      </c>
      <c r="D403" s="220">
        <f>WaveSETUP</f>
        <v>0</v>
      </c>
      <c r="E403" s="218">
        <f>Wave</f>
        <v>0</v>
      </c>
      <c r="F403" s="262">
        <f t="shared" si="3"/>
        <v>0</v>
      </c>
      <c r="G403" s="219">
        <f t="shared" si="4"/>
        <v>0</v>
      </c>
      <c r="H403" s="245"/>
      <c r="I403" s="245"/>
      <c r="J403" s="245"/>
      <c r="K403" s="303" t="s">
        <v>332</v>
      </c>
      <c r="L403" s="303"/>
    </row>
    <row r="404" spans="1:12" s="191" customFormat="1" ht="12" customHeight="1" x14ac:dyDescent="0.25">
      <c r="A404" s="241"/>
      <c r="B404" s="217">
        <v>95</v>
      </c>
      <c r="C404" s="225" t="s">
        <v>219</v>
      </c>
      <c r="D404" s="227"/>
      <c r="E404" s="218">
        <f>WaveTUP+E198+WaveQA</f>
        <v>0</v>
      </c>
      <c r="F404" s="262">
        <f t="shared" si="3"/>
        <v>0</v>
      </c>
      <c r="G404" s="219">
        <f t="shared" si="4"/>
        <v>0</v>
      </c>
      <c r="H404" s="245"/>
      <c r="I404" s="245"/>
      <c r="J404" s="245"/>
      <c r="K404" s="303" t="s">
        <v>361</v>
      </c>
      <c r="L404" s="303"/>
    </row>
    <row r="405" spans="1:12" s="191" customFormat="1" ht="12" customHeight="1" x14ac:dyDescent="0.25">
      <c r="A405" s="241"/>
      <c r="B405" s="217">
        <v>100</v>
      </c>
      <c r="C405" s="225" t="s">
        <v>218</v>
      </c>
      <c r="D405" s="220">
        <f>D209+PFitSUp+D234+D236+D257+D258</f>
        <v>0.255</v>
      </c>
      <c r="E405" s="218">
        <f>HandPb+HandPbf+E220+E221+PFit+Depanel+E251+MiscMod</f>
        <v>4.3246599999999997</v>
      </c>
      <c r="F405" s="262">
        <f t="shared" si="3"/>
        <v>4.5796599999999996</v>
      </c>
      <c r="G405" s="219">
        <f t="shared" si="4"/>
        <v>13.873923036724275</v>
      </c>
      <c r="H405" s="245"/>
      <c r="I405" s="245"/>
      <c r="J405" s="245"/>
      <c r="K405" s="303" t="s">
        <v>371</v>
      </c>
      <c r="L405" s="303"/>
    </row>
    <row r="406" spans="1:12" s="191" customFormat="1" ht="12" customHeight="1" x14ac:dyDescent="0.25">
      <c r="A406" s="241"/>
      <c r="B406" s="221">
        <v>110</v>
      </c>
      <c r="C406" s="225" t="s">
        <v>329</v>
      </c>
      <c r="D406" s="218">
        <f>D271</f>
        <v>0</v>
      </c>
      <c r="E406" s="218">
        <f>E275</f>
        <v>0</v>
      </c>
      <c r="F406" s="262">
        <f t="shared" si="3"/>
        <v>0</v>
      </c>
      <c r="G406" s="219">
        <f t="shared" si="4"/>
        <v>0</v>
      </c>
      <c r="H406" s="245"/>
      <c r="I406" s="245"/>
      <c r="J406" s="245"/>
      <c r="K406" s="303" t="s">
        <v>334</v>
      </c>
      <c r="L406" s="303"/>
    </row>
    <row r="407" spans="1:12" s="191" customFormat="1" ht="12" customHeight="1" x14ac:dyDescent="0.25">
      <c r="A407" s="241"/>
      <c r="B407" s="221">
        <v>115</v>
      </c>
      <c r="C407" s="225" t="s">
        <v>222</v>
      </c>
      <c r="D407" s="218">
        <f>D279</f>
        <v>0</v>
      </c>
      <c r="E407" s="218">
        <f>TMPCYC</f>
        <v>0</v>
      </c>
      <c r="F407" s="262">
        <f t="shared" si="3"/>
        <v>0</v>
      </c>
      <c r="G407" s="219">
        <f t="shared" si="4"/>
        <v>0</v>
      </c>
      <c r="H407" s="245"/>
      <c r="I407" s="245"/>
      <c r="J407" s="245"/>
      <c r="K407" s="303" t="s">
        <v>424</v>
      </c>
      <c r="L407" s="303"/>
    </row>
    <row r="408" spans="1:12" s="191" customFormat="1" ht="12" customHeight="1" x14ac:dyDescent="0.25">
      <c r="A408" s="241"/>
      <c r="B408" s="222">
        <v>120</v>
      </c>
      <c r="C408" s="225" t="s">
        <v>159</v>
      </c>
      <c r="D408" s="220">
        <f>D287</f>
        <v>0.1</v>
      </c>
      <c r="E408" s="218">
        <f>E291+ICTDBg</f>
        <v>2.7916599999999998</v>
      </c>
      <c r="F408" s="262">
        <f t="shared" si="3"/>
        <v>2.8916599999999999</v>
      </c>
      <c r="G408" s="219">
        <f t="shared" si="4"/>
        <v>21.492588639017647</v>
      </c>
      <c r="H408" s="245"/>
      <c r="I408" s="245"/>
      <c r="J408" s="245"/>
      <c r="K408" s="303" t="s">
        <v>441</v>
      </c>
      <c r="L408" s="303"/>
    </row>
    <row r="409" spans="1:12" s="191" customFormat="1" ht="12" customHeight="1" x14ac:dyDescent="0.25">
      <c r="A409" s="241"/>
      <c r="B409" s="222">
        <v>130</v>
      </c>
      <c r="C409" s="225" t="s">
        <v>163</v>
      </c>
      <c r="D409" s="218">
        <f>D299</f>
        <v>0.1</v>
      </c>
      <c r="E409" s="218">
        <f>E303+FCTDBg</f>
        <v>3.0416599999999998</v>
      </c>
      <c r="F409" s="262">
        <f t="shared" si="3"/>
        <v>3.1416599999999999</v>
      </c>
      <c r="G409" s="219">
        <f t="shared" si="4"/>
        <v>19.72607063248358</v>
      </c>
      <c r="H409" s="245"/>
      <c r="I409" s="245"/>
      <c r="J409" s="245"/>
      <c r="K409" s="303" t="s">
        <v>372</v>
      </c>
      <c r="L409" s="303"/>
    </row>
    <row r="410" spans="1:12" s="191" customFormat="1" ht="12" customHeight="1" x14ac:dyDescent="0.25">
      <c r="A410" s="241"/>
      <c r="B410" s="221">
        <v>150</v>
      </c>
      <c r="C410" s="225" t="s">
        <v>220</v>
      </c>
      <c r="D410" s="223">
        <f>ConfMachSETUP+ConfSUp</f>
        <v>0</v>
      </c>
      <c r="E410" s="218">
        <f>ConfMach+Conf+E340</f>
        <v>0</v>
      </c>
      <c r="F410" s="262">
        <f t="shared" si="3"/>
        <v>0</v>
      </c>
      <c r="G410" s="219">
        <f t="shared" si="4"/>
        <v>0</v>
      </c>
      <c r="H410" s="245"/>
      <c r="I410" s="245"/>
      <c r="J410" s="245"/>
      <c r="K410" s="303" t="s">
        <v>373</v>
      </c>
      <c r="L410" s="303"/>
    </row>
    <row r="411" spans="1:12" s="191" customFormat="1" ht="12" customHeight="1" x14ac:dyDescent="0.25">
      <c r="A411" s="241"/>
      <c r="B411" s="221">
        <v>160</v>
      </c>
      <c r="C411" s="225" t="s">
        <v>221</v>
      </c>
      <c r="D411" s="218">
        <f>D343</f>
        <v>0</v>
      </c>
      <c r="E411" s="218">
        <f>MechAssy</f>
        <v>0</v>
      </c>
      <c r="F411" s="262">
        <f t="shared" si="3"/>
        <v>0</v>
      </c>
      <c r="G411" s="219">
        <f t="shared" si="4"/>
        <v>0</v>
      </c>
      <c r="H411" s="245"/>
      <c r="I411" s="245"/>
      <c r="J411" s="245"/>
      <c r="K411" s="303" t="s">
        <v>374</v>
      </c>
      <c r="L411" s="303"/>
    </row>
    <row r="412" spans="1:12" s="191" customFormat="1" ht="12" customHeight="1" x14ac:dyDescent="0.25">
      <c r="A412" s="241"/>
      <c r="B412" s="221">
        <v>180</v>
      </c>
      <c r="C412" s="225" t="s">
        <v>223</v>
      </c>
      <c r="D412" s="265">
        <f>RPTSUp</f>
        <v>0.05</v>
      </c>
      <c r="E412" s="218">
        <f>FQC+E359+FQA+RPT</f>
        <v>1.38666</v>
      </c>
      <c r="F412" s="262">
        <f t="shared" si="3"/>
        <v>1.43666</v>
      </c>
      <c r="G412" s="219">
        <f t="shared" si="4"/>
        <v>43.269438795378825</v>
      </c>
      <c r="H412" s="245"/>
      <c r="I412" s="245"/>
      <c r="J412" s="245"/>
      <c r="K412" s="303" t="s">
        <v>428</v>
      </c>
      <c r="L412" s="303"/>
    </row>
    <row r="413" spans="1:12" s="191" customFormat="1" ht="12" customHeight="1" x14ac:dyDescent="0.25">
      <c r="A413" s="241"/>
      <c r="B413" s="222">
        <v>185</v>
      </c>
      <c r="C413" s="225" t="s">
        <v>425</v>
      </c>
      <c r="D413" s="224">
        <f>D375</f>
        <v>0</v>
      </c>
      <c r="E413" s="218">
        <f>E377</f>
        <v>0</v>
      </c>
      <c r="F413" s="262">
        <f t="shared" si="3"/>
        <v>0</v>
      </c>
      <c r="G413" s="219">
        <f t="shared" si="4"/>
        <v>0</v>
      </c>
      <c r="H413" s="245"/>
      <c r="I413" s="245"/>
      <c r="J413" s="245"/>
      <c r="K413" s="303" t="s">
        <v>440</v>
      </c>
      <c r="L413" s="303"/>
    </row>
    <row r="414" spans="1:12" s="191" customFormat="1" ht="12" customHeight="1" x14ac:dyDescent="0.25">
      <c r="A414" s="241"/>
      <c r="B414" s="222">
        <v>190</v>
      </c>
      <c r="C414" s="225" t="s">
        <v>224</v>
      </c>
      <c r="D414" s="264"/>
      <c r="E414" s="218">
        <f>E382</f>
        <v>1.16666</v>
      </c>
      <c r="F414" s="262">
        <f t="shared" si="3"/>
        <v>1.16666</v>
      </c>
      <c r="G414" s="219">
        <f t="shared" si="4"/>
        <v>51.428865307801757</v>
      </c>
      <c r="H414" s="245"/>
      <c r="I414" s="245"/>
      <c r="J414" s="245"/>
      <c r="K414" s="303" t="s">
        <v>375</v>
      </c>
      <c r="L414" s="303"/>
    </row>
    <row r="415" spans="1:12" s="191" customFormat="1" ht="12" customHeight="1" x14ac:dyDescent="0.25">
      <c r="A415" s="241"/>
      <c r="B415" s="299" t="s">
        <v>212</v>
      </c>
      <c r="C415" s="300"/>
      <c r="D415" s="212">
        <f>SUM(D393:D414)</f>
        <v>3.7080013333333328</v>
      </c>
      <c r="E415" s="128">
        <f>SUM(E393:E414)</f>
        <v>18.782919999999997</v>
      </c>
      <c r="F415" s="267">
        <f t="shared" si="3"/>
        <v>22.490921333333329</v>
      </c>
    </row>
    <row r="417" spans="1:25" ht="16" thickBot="1" x14ac:dyDescent="0.3">
      <c r="A417" s="243"/>
      <c r="B417" s="97"/>
      <c r="C417" s="98"/>
      <c r="D417" s="98"/>
      <c r="E417" s="98"/>
      <c r="F417" s="98"/>
      <c r="G417" s="19"/>
      <c r="H417" s="19"/>
      <c r="I417" s="19"/>
      <c r="J417" s="19"/>
      <c r="L417" s="34"/>
      <c r="M417" s="34"/>
      <c r="N417" s="34"/>
      <c r="O417" s="34"/>
      <c r="P417" s="34"/>
      <c r="Q417" s="34"/>
      <c r="R417" s="34"/>
      <c r="S417" s="34"/>
      <c r="T417" s="34"/>
      <c r="V417" s="34"/>
      <c r="W417" s="34"/>
      <c r="X417" s="34"/>
      <c r="Y417" s="34"/>
    </row>
    <row r="418" spans="1:25" ht="13" thickTop="1" x14ac:dyDescent="0.25">
      <c r="G418" s="10"/>
      <c r="H418" s="10"/>
      <c r="I418" s="10"/>
      <c r="J418" s="10"/>
      <c r="L418" s="34"/>
      <c r="M418" s="34"/>
      <c r="N418" s="34"/>
      <c r="O418" s="34"/>
      <c r="P418" s="34"/>
      <c r="Q418" s="34"/>
      <c r="R418" s="34"/>
      <c r="S418" s="34"/>
      <c r="T418" s="34"/>
    </row>
    <row r="419" spans="1:25" ht="13" x14ac:dyDescent="0.25">
      <c r="B419" s="99" t="s">
        <v>200</v>
      </c>
      <c r="G419" s="10"/>
      <c r="H419" s="10"/>
      <c r="I419" s="10"/>
      <c r="J419" s="10"/>
      <c r="L419" s="34"/>
      <c r="M419" s="34"/>
      <c r="N419" s="34"/>
      <c r="O419" s="34"/>
      <c r="P419" s="34"/>
      <c r="Q419" s="34"/>
      <c r="R419" s="34"/>
      <c r="S419" s="34"/>
      <c r="T419" s="34"/>
    </row>
    <row r="420" spans="1:25" ht="13" x14ac:dyDescent="0.25">
      <c r="C420" s="100"/>
      <c r="D420" s="100"/>
      <c r="E420" s="100"/>
      <c r="F420" s="100"/>
      <c r="G420" s="10"/>
      <c r="H420" s="10"/>
      <c r="I420" s="10"/>
      <c r="J420" s="10"/>
      <c r="L420" s="34"/>
      <c r="M420" s="34"/>
      <c r="N420" s="34"/>
      <c r="O420" s="34"/>
      <c r="P420" s="34"/>
      <c r="Q420" s="34"/>
      <c r="R420" s="34"/>
      <c r="S420" s="34"/>
      <c r="T420" s="34"/>
    </row>
    <row r="421" spans="1:25" x14ac:dyDescent="0.25">
      <c r="B421" s="96" t="s">
        <v>201</v>
      </c>
      <c r="C421" s="101"/>
      <c r="D421" s="101"/>
      <c r="E421" s="101"/>
      <c r="F421" s="101"/>
      <c r="G421" s="10"/>
      <c r="H421" s="10"/>
      <c r="I421" s="10"/>
      <c r="J421" s="10"/>
      <c r="L421" s="34"/>
      <c r="M421" s="34"/>
      <c r="N421" s="34"/>
      <c r="O421" s="34"/>
      <c r="P421" s="34"/>
      <c r="Q421" s="34"/>
      <c r="R421" s="34"/>
      <c r="S421" s="34"/>
      <c r="T421" s="34"/>
    </row>
    <row r="422" spans="1:25" x14ac:dyDescent="0.25">
      <c r="B422" s="96" t="s">
        <v>202</v>
      </c>
      <c r="C422" s="102"/>
      <c r="D422" s="102"/>
      <c r="E422" s="102"/>
      <c r="F422" s="102"/>
      <c r="G422" s="10"/>
      <c r="H422" s="10"/>
      <c r="I422" s="10"/>
      <c r="J422" s="10"/>
      <c r="L422" s="34"/>
      <c r="M422" s="34"/>
      <c r="N422" s="34"/>
      <c r="O422" s="34"/>
      <c r="P422" s="34"/>
      <c r="Q422" s="34"/>
      <c r="R422" s="34"/>
      <c r="S422" s="34"/>
      <c r="T422" s="34"/>
    </row>
    <row r="423" spans="1:25" x14ac:dyDescent="0.25">
      <c r="B423" s="103" t="s">
        <v>46</v>
      </c>
      <c r="C423" s="104"/>
      <c r="D423" s="104"/>
      <c r="E423" s="104"/>
      <c r="F423" s="104"/>
      <c r="G423" s="10" t="s">
        <v>203</v>
      </c>
      <c r="H423" s="10"/>
      <c r="I423" s="10"/>
      <c r="J423" s="10"/>
    </row>
    <row r="424" spans="1:25" x14ac:dyDescent="0.25">
      <c r="G424" s="10"/>
      <c r="H424" s="10"/>
      <c r="I424" s="10"/>
      <c r="J424" s="10"/>
    </row>
    <row r="425" spans="1:25" x14ac:dyDescent="0.25">
      <c r="G425" s="10"/>
      <c r="H425" s="10"/>
      <c r="I425" s="10"/>
      <c r="J425" s="10"/>
    </row>
    <row r="426" spans="1:25" x14ac:dyDescent="0.25">
      <c r="G426" s="10"/>
      <c r="H426" s="10"/>
      <c r="I426" s="10"/>
      <c r="J426" s="10"/>
    </row>
    <row r="427" spans="1:25" ht="13" x14ac:dyDescent="0.25">
      <c r="B427" s="105" t="s">
        <v>204</v>
      </c>
      <c r="G427" s="10"/>
      <c r="H427" s="10"/>
      <c r="I427" s="10"/>
      <c r="J427" s="10"/>
    </row>
    <row r="428" spans="1:25" x14ac:dyDescent="0.25">
      <c r="G428" s="10"/>
      <c r="H428" s="10"/>
      <c r="I428" s="10"/>
      <c r="J428" s="10"/>
    </row>
    <row r="429" spans="1:25" x14ac:dyDescent="0.25">
      <c r="G429" s="10"/>
      <c r="H429" s="10"/>
      <c r="I429" s="10"/>
      <c r="J429" s="10"/>
    </row>
    <row r="430" spans="1:25" x14ac:dyDescent="0.25">
      <c r="B430" s="96" t="s">
        <v>452</v>
      </c>
      <c r="C430" s="106">
        <v>3</v>
      </c>
      <c r="D430" s="106" t="str">
        <f t="shared" ref="D430:D435" si="5">IF($L$5=B430,F430,"")</f>
        <v/>
      </c>
      <c r="E430" s="106" t="str">
        <f t="shared" ref="E430:E435" si="6">IF($L$5=B430,F430,"")</f>
        <v/>
      </c>
      <c r="F430" s="107">
        <v>3</v>
      </c>
      <c r="G430" s="10"/>
      <c r="H430" s="10"/>
      <c r="I430" s="10"/>
      <c r="J430" s="10"/>
    </row>
    <row r="431" spans="1:25" x14ac:dyDescent="0.25">
      <c r="B431" s="96" t="s">
        <v>453</v>
      </c>
      <c r="C431" s="106">
        <v>1</v>
      </c>
      <c r="D431" s="106" t="str">
        <f t="shared" si="5"/>
        <v/>
      </c>
      <c r="E431" s="106" t="str">
        <f t="shared" si="6"/>
        <v/>
      </c>
      <c r="F431" s="107">
        <v>1</v>
      </c>
      <c r="G431" s="10"/>
      <c r="H431" s="10"/>
      <c r="I431" s="10"/>
      <c r="J431" s="10"/>
    </row>
    <row r="432" spans="1:25" x14ac:dyDescent="0.25">
      <c r="B432" s="96" t="s">
        <v>454</v>
      </c>
      <c r="C432" s="106">
        <v>0.4</v>
      </c>
      <c r="D432" s="106" t="str">
        <f t="shared" si="5"/>
        <v/>
      </c>
      <c r="E432" s="106" t="str">
        <f t="shared" si="6"/>
        <v/>
      </c>
      <c r="F432" s="107">
        <v>0.4</v>
      </c>
      <c r="G432" s="10"/>
      <c r="H432" s="10"/>
      <c r="I432" s="10"/>
      <c r="J432" s="10"/>
    </row>
    <row r="433" spans="2:10" x14ac:dyDescent="0.25">
      <c r="B433" s="96" t="s">
        <v>455</v>
      </c>
      <c r="C433" s="106">
        <v>0.18</v>
      </c>
      <c r="D433" s="106">
        <f t="shared" si="5"/>
        <v>0.18</v>
      </c>
      <c r="E433" s="106">
        <f t="shared" si="6"/>
        <v>0.18</v>
      </c>
      <c r="F433" s="107">
        <v>0.18</v>
      </c>
      <c r="G433" s="10"/>
      <c r="H433" s="10"/>
      <c r="I433" s="10"/>
      <c r="J433" s="10"/>
    </row>
    <row r="434" spans="2:10" x14ac:dyDescent="0.25">
      <c r="B434" s="96" t="s">
        <v>456</v>
      </c>
      <c r="C434" s="106">
        <v>0.1</v>
      </c>
      <c r="D434" s="106" t="str">
        <f t="shared" si="5"/>
        <v/>
      </c>
      <c r="E434" s="106" t="str">
        <f t="shared" si="6"/>
        <v/>
      </c>
      <c r="F434" s="107">
        <v>0.1</v>
      </c>
      <c r="G434" s="10"/>
      <c r="H434" s="10"/>
      <c r="I434" s="10"/>
      <c r="J434" s="10"/>
    </row>
    <row r="435" spans="2:10" x14ac:dyDescent="0.25">
      <c r="B435" s="96" t="s">
        <v>457</v>
      </c>
      <c r="C435" s="106">
        <v>0.02</v>
      </c>
      <c r="D435" s="106" t="str">
        <f t="shared" si="5"/>
        <v/>
      </c>
      <c r="E435" s="106" t="str">
        <f t="shared" si="6"/>
        <v/>
      </c>
      <c r="F435" s="107">
        <v>0.02</v>
      </c>
      <c r="G435" s="10"/>
      <c r="H435" s="10"/>
      <c r="I435" s="10"/>
      <c r="J435" s="10"/>
    </row>
    <row r="436" spans="2:10" x14ac:dyDescent="0.25">
      <c r="D436" s="108">
        <f>SUM(D430:D435)</f>
        <v>0.18</v>
      </c>
      <c r="E436" s="108">
        <f>SUM(E430:E435)</f>
        <v>0.18</v>
      </c>
      <c r="G436" s="10"/>
      <c r="H436" s="10"/>
      <c r="I436" s="10"/>
      <c r="J436" s="10"/>
    </row>
    <row r="437" spans="2:10" x14ac:dyDescent="0.25">
      <c r="G437" s="10"/>
      <c r="H437" s="10"/>
      <c r="I437" s="10"/>
      <c r="J437" s="10"/>
    </row>
    <row r="438" spans="2:10" x14ac:dyDescent="0.25">
      <c r="G438" s="10"/>
      <c r="H438" s="10"/>
      <c r="I438" s="10"/>
      <c r="J438" s="10"/>
    </row>
    <row r="439" spans="2:10" ht="13" x14ac:dyDescent="0.25">
      <c r="B439" s="105" t="s">
        <v>205</v>
      </c>
      <c r="G439" s="10"/>
      <c r="H439" s="10"/>
      <c r="I439" s="10"/>
      <c r="J439" s="10"/>
    </row>
    <row r="440" spans="2:10" x14ac:dyDescent="0.25">
      <c r="G440" s="10"/>
      <c r="H440" s="10"/>
      <c r="I440" s="10"/>
      <c r="J440" s="10"/>
    </row>
    <row r="441" spans="2:10" ht="25" x14ac:dyDescent="0.25">
      <c r="B441" s="96" t="s">
        <v>129</v>
      </c>
      <c r="C441" s="7">
        <v>0</v>
      </c>
      <c r="D441" s="7">
        <f>IF($F$189=B441,C441,"")</f>
        <v>0</v>
      </c>
      <c r="E441" s="7">
        <f>IF($F$189=B441,C441,"")</f>
        <v>0</v>
      </c>
      <c r="G441" s="10"/>
      <c r="H441" s="10"/>
      <c r="I441" s="10"/>
      <c r="J441" s="10"/>
    </row>
    <row r="442" spans="2:10" x14ac:dyDescent="0.25">
      <c r="B442" s="96" t="s">
        <v>206</v>
      </c>
      <c r="C442" s="7">
        <v>1</v>
      </c>
      <c r="D442" s="7" t="str">
        <f>IF($F$189=B442,C442,"")</f>
        <v/>
      </c>
      <c r="E442" s="7" t="str">
        <f>IF($F$189=B442,C442,"")</f>
        <v/>
      </c>
      <c r="G442" s="10"/>
      <c r="H442" s="10"/>
      <c r="I442" s="10"/>
      <c r="J442" s="10"/>
    </row>
    <row r="443" spans="2:10" x14ac:dyDescent="0.25">
      <c r="D443" s="104">
        <f>SUM(D441:D442)</f>
        <v>0</v>
      </c>
      <c r="E443" s="104">
        <f>SUM(E441:E442)</f>
        <v>0</v>
      </c>
      <c r="G443" s="10"/>
      <c r="H443" s="10"/>
      <c r="I443" s="10"/>
      <c r="J443" s="10"/>
    </row>
    <row r="444" spans="2:10" x14ac:dyDescent="0.25">
      <c r="G444" s="10"/>
      <c r="H444" s="10"/>
      <c r="I444" s="10"/>
      <c r="J444" s="10"/>
    </row>
    <row r="445" spans="2:10" ht="26" x14ac:dyDescent="0.25">
      <c r="B445" s="105" t="s">
        <v>207</v>
      </c>
      <c r="G445" s="10"/>
      <c r="H445" s="10"/>
      <c r="I445" s="10"/>
      <c r="J445" s="10"/>
    </row>
    <row r="446" spans="2:10" x14ac:dyDescent="0.25">
      <c r="G446" s="10"/>
      <c r="H446" s="10"/>
      <c r="I446" s="10"/>
      <c r="J446" s="10"/>
    </row>
    <row r="447" spans="2:10" x14ac:dyDescent="0.25">
      <c r="B447" s="96" t="s">
        <v>232</v>
      </c>
      <c r="C447" s="7">
        <v>1</v>
      </c>
      <c r="D447" s="7">
        <f>IF($F$190=B447,C447,"")</f>
        <v>1</v>
      </c>
      <c r="E447" s="7">
        <f>IF($F$190=B447,C447,"")</f>
        <v>1</v>
      </c>
      <c r="G447" s="10"/>
      <c r="H447" s="10"/>
      <c r="I447" s="10"/>
      <c r="J447" s="10"/>
    </row>
    <row r="448" spans="2:10" ht="25" x14ac:dyDescent="0.25">
      <c r="B448" s="96" t="s">
        <v>230</v>
      </c>
      <c r="C448" s="7">
        <v>3</v>
      </c>
      <c r="D448" s="7" t="str">
        <f>IF($F$190=B448,C448,"")</f>
        <v/>
      </c>
      <c r="E448" s="7" t="str">
        <f>IF($F$190=B448,C448,"")</f>
        <v/>
      </c>
      <c r="G448" s="10"/>
      <c r="H448" s="10"/>
      <c r="I448" s="10"/>
      <c r="J448" s="10"/>
    </row>
    <row r="449" spans="2:10" ht="25" x14ac:dyDescent="0.25">
      <c r="B449" s="96" t="s">
        <v>231</v>
      </c>
      <c r="C449" s="7">
        <v>6</v>
      </c>
      <c r="D449" s="7" t="str">
        <f>IF($F$190=B449,C449,"")</f>
        <v/>
      </c>
      <c r="E449" s="7" t="str">
        <f>IF($F$190=B449,C449,"")</f>
        <v/>
      </c>
      <c r="G449" s="10"/>
      <c r="H449" s="10"/>
      <c r="I449" s="10"/>
      <c r="J449" s="10"/>
    </row>
    <row r="450" spans="2:10" x14ac:dyDescent="0.25">
      <c r="D450" s="104">
        <f>SUM(D447:D449)</f>
        <v>1</v>
      </c>
      <c r="E450" s="104">
        <f>SUM(E447:E449)</f>
        <v>1</v>
      </c>
      <c r="G450" s="10"/>
      <c r="H450" s="10"/>
      <c r="I450" s="10"/>
      <c r="J450" s="10"/>
    </row>
    <row r="451" spans="2:10" ht="13" x14ac:dyDescent="0.25">
      <c r="B451" s="105" t="s">
        <v>281</v>
      </c>
      <c r="C451" s="105" t="s">
        <v>284</v>
      </c>
      <c r="G451" s="10"/>
      <c r="H451" s="10"/>
      <c r="I451" s="10"/>
      <c r="J451" s="10"/>
    </row>
    <row r="452" spans="2:10" x14ac:dyDescent="0.25">
      <c r="B452" s="3" t="s">
        <v>6</v>
      </c>
      <c r="C452" s="141" t="s">
        <v>282</v>
      </c>
      <c r="G452" s="10"/>
      <c r="H452" s="10"/>
      <c r="I452" s="10"/>
      <c r="J452" s="10"/>
    </row>
    <row r="453" spans="2:10" x14ac:dyDescent="0.25">
      <c r="B453" s="3" t="s">
        <v>208</v>
      </c>
      <c r="C453" s="142" t="s">
        <v>283</v>
      </c>
      <c r="G453" s="10"/>
      <c r="H453" s="10"/>
      <c r="I453" s="10"/>
      <c r="J453" s="10"/>
    </row>
    <row r="454" spans="2:10" x14ac:dyDescent="0.25">
      <c r="C454" s="142"/>
      <c r="G454" s="10"/>
      <c r="H454" s="10"/>
      <c r="I454" s="10"/>
      <c r="J454" s="10"/>
    </row>
    <row r="455" spans="2:10" x14ac:dyDescent="0.25">
      <c r="B455" s="132"/>
      <c r="G455" s="10"/>
      <c r="H455" s="10"/>
      <c r="I455" s="10"/>
      <c r="J455" s="10"/>
    </row>
  </sheetData>
  <autoFilter ref="A19:A388" xr:uid="{00000000-0009-0000-0000-000000000000}">
    <filterColumn colId="0">
      <filters blank="1"/>
    </filterColumn>
  </autoFilter>
  <mergeCells count="48">
    <mergeCell ref="K411:L411"/>
    <mergeCell ref="K412:L412"/>
    <mergeCell ref="K413:L413"/>
    <mergeCell ref="K414:L414"/>
    <mergeCell ref="K406:L406"/>
    <mergeCell ref="K407:L407"/>
    <mergeCell ref="K408:L408"/>
    <mergeCell ref="K409:L409"/>
    <mergeCell ref="K410:L410"/>
    <mergeCell ref="K401:L401"/>
    <mergeCell ref="K402:L402"/>
    <mergeCell ref="K403:L403"/>
    <mergeCell ref="K404:L404"/>
    <mergeCell ref="K405:L405"/>
    <mergeCell ref="D5:E5"/>
    <mergeCell ref="L5:Q5"/>
    <mergeCell ref="S5:W5"/>
    <mergeCell ref="S24:T24"/>
    <mergeCell ref="G9:G11"/>
    <mergeCell ref="S21:T21"/>
    <mergeCell ref="S22:T22"/>
    <mergeCell ref="S23:T23"/>
    <mergeCell ref="S19:T19"/>
    <mergeCell ref="S20:T20"/>
    <mergeCell ref="L7:Q17"/>
    <mergeCell ref="K7:K17"/>
    <mergeCell ref="I17:I19"/>
    <mergeCell ref="S27:T27"/>
    <mergeCell ref="S28:T28"/>
    <mergeCell ref="S40:T40"/>
    <mergeCell ref="S30:T30"/>
    <mergeCell ref="S25:T25"/>
    <mergeCell ref="B190:C190"/>
    <mergeCell ref="S38:T38"/>
    <mergeCell ref="B415:C415"/>
    <mergeCell ref="B189:C189"/>
    <mergeCell ref="S31:T31"/>
    <mergeCell ref="S32:T32"/>
    <mergeCell ref="S37:T37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</mergeCells>
  <phoneticPr fontId="0" type="noConversion"/>
  <conditionalFormatting sqref="P20:P28 P30:P32 P37 P40">
    <cfRule type="cellIs" dxfId="2" priority="5" stopIfTrue="1" operator="equal">
      <formula>0</formula>
    </cfRule>
  </conditionalFormatting>
  <conditionalFormatting sqref="F393:F414">
    <cfRule type="cellIs" dxfId="1" priority="3" operator="greaterThan">
      <formula>0</formula>
    </cfRule>
  </conditionalFormatting>
  <conditionalFormatting sqref="C393:C414">
    <cfRule type="expression" dxfId="0" priority="1">
      <formula>F393&gt;0</formula>
    </cfRule>
  </conditionalFormatting>
  <dataValidations count="5">
    <dataValidation type="list" allowBlank="1" showInputMessage="1" showErrorMessage="1" sqref="F373 L6 F24:F25 F27" xr:uid="{00000000-0002-0000-0000-000000000000}">
      <formula1>$B$452:$B$453</formula1>
    </dataValidation>
    <dataValidation type="list" allowBlank="1" showInputMessage="1" showErrorMessage="1" sqref="F190" xr:uid="{00000000-0002-0000-0000-000001000000}">
      <formula1>$B$447:$B$449</formula1>
    </dataValidation>
    <dataValidation type="list" allowBlank="1" showInputMessage="1" showErrorMessage="1" sqref="F189" xr:uid="{00000000-0002-0000-0000-000002000000}">
      <formula1>$B$441:$B$442</formula1>
    </dataValidation>
    <dataValidation type="list" allowBlank="1" showInputMessage="1" showErrorMessage="1" sqref="F23" xr:uid="{00000000-0002-0000-0000-000003000000}">
      <formula1>$C$452:$C$453</formula1>
    </dataValidation>
    <dataValidation type="list" allowBlank="1" showInputMessage="1" showErrorMessage="1" sqref="L5:Q5" xr:uid="{00000000-0002-0000-0000-000004000000}">
      <formula1>$B$430:$B$435</formula1>
    </dataValidation>
  </dataValidations>
  <pageMargins left="0.74803149606299213" right="0.74803149606299213" top="1.2204724409448819" bottom="0.9055118110236221" header="0.51181102362204722" footer="0.47244094488188981"/>
  <pageSetup paperSize="8" scale="70" orientation="landscape" r:id="rId1"/>
  <headerFooter alignWithMargins="0">
    <oddHeader>&amp;L&amp;G&amp;R&amp;"Arial,Bold"&amp;12Form Number:  PFM-0005-MEL
   Revision: 7.0   Page &amp;P of  &amp;N</oddHeader>
    <oddFooter>&amp;L&amp;"Times New Roman,Italic"QFM-0103-STX REV 1.0&amp;C&amp;"Times New Roman,Italic"If this is a copy, unless oterwise specified, it is uncontrolled. You must verify the revision before use.</oddFooter>
  </headerFooter>
  <drawing r:id="rId2"/>
  <legacy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908A1-D1D8-4F38-B8EA-7A94CE499A05}">
  <sheetPr>
    <tabColor rgb="FF92D050"/>
  </sheetPr>
  <dimension ref="A1:M26"/>
  <sheetViews>
    <sheetView workbookViewId="0">
      <selection activeCell="K26" sqref="K26"/>
    </sheetView>
  </sheetViews>
  <sheetFormatPr defaultColWidth="9.1796875" defaultRowHeight="14.5" x14ac:dyDescent="0.35"/>
  <cols>
    <col min="1" max="1" width="16" style="288" customWidth="1"/>
    <col min="2" max="2" width="19" style="288" customWidth="1"/>
    <col min="3" max="3" width="10.7265625" style="288" customWidth="1"/>
    <col min="4" max="4" width="47.7265625" style="288" bestFit="1" customWidth="1"/>
    <col min="5" max="6" width="19" style="288" customWidth="1"/>
    <col min="7" max="7" width="16" style="288" customWidth="1"/>
    <col min="8" max="8" width="19" style="294" customWidth="1"/>
    <col min="9" max="10" width="16" style="288" customWidth="1"/>
    <col min="11" max="11" width="38.26953125" style="288" customWidth="1"/>
    <col min="12" max="13" width="16" style="288" customWidth="1"/>
    <col min="14" max="16384" width="9.1796875" style="288"/>
  </cols>
  <sheetData>
    <row r="1" spans="1:13" s="285" customFormat="1" x14ac:dyDescent="0.35">
      <c r="A1" s="284" t="s">
        <v>475</v>
      </c>
      <c r="B1" s="284" t="s">
        <v>476</v>
      </c>
      <c r="C1" s="284"/>
      <c r="D1" s="284" t="s">
        <v>477</v>
      </c>
      <c r="E1" s="284" t="s">
        <v>466</v>
      </c>
      <c r="F1" s="284" t="s">
        <v>478</v>
      </c>
      <c r="G1" s="284" t="s">
        <v>479</v>
      </c>
      <c r="H1" s="291" t="s">
        <v>467</v>
      </c>
      <c r="I1" s="284" t="s">
        <v>480</v>
      </c>
      <c r="J1" s="284" t="s">
        <v>468</v>
      </c>
      <c r="K1" s="284" t="s">
        <v>481</v>
      </c>
      <c r="L1" s="284" t="s">
        <v>482</v>
      </c>
      <c r="M1" s="284" t="s">
        <v>483</v>
      </c>
    </row>
    <row r="2" spans="1:13" x14ac:dyDescent="0.35">
      <c r="A2" s="286"/>
      <c r="B2" s="287" t="s">
        <v>520</v>
      </c>
      <c r="C2" s="287" t="s">
        <v>473</v>
      </c>
      <c r="D2" s="287" t="s">
        <v>521</v>
      </c>
      <c r="E2" s="287" t="s">
        <v>522</v>
      </c>
      <c r="F2" s="287" t="s">
        <v>523</v>
      </c>
      <c r="G2" s="287" t="s">
        <v>484</v>
      </c>
      <c r="H2" s="292">
        <v>1</v>
      </c>
      <c r="I2" s="287" t="s">
        <v>485</v>
      </c>
      <c r="J2" s="287" t="s">
        <v>486</v>
      </c>
      <c r="K2" s="287" t="s">
        <v>524</v>
      </c>
      <c r="L2" s="286"/>
      <c r="M2" s="286"/>
    </row>
    <row r="3" spans="1:13" x14ac:dyDescent="0.35">
      <c r="A3" s="287" t="s">
        <v>469</v>
      </c>
      <c r="B3" s="287" t="s">
        <v>490</v>
      </c>
      <c r="C3" s="287" t="s">
        <v>473</v>
      </c>
      <c r="D3" s="287" t="s">
        <v>512</v>
      </c>
      <c r="E3" s="287" t="s">
        <v>525</v>
      </c>
      <c r="F3" s="287" t="s">
        <v>488</v>
      </c>
      <c r="G3" s="287" t="s">
        <v>484</v>
      </c>
      <c r="H3" s="292">
        <v>7</v>
      </c>
      <c r="I3" s="287" t="s">
        <v>485</v>
      </c>
      <c r="J3" s="287" t="s">
        <v>486</v>
      </c>
      <c r="K3" s="287" t="s">
        <v>513</v>
      </c>
      <c r="L3" s="287" t="s">
        <v>469</v>
      </c>
      <c r="M3" s="287" t="s">
        <v>469</v>
      </c>
    </row>
    <row r="4" spans="1:13" x14ac:dyDescent="0.35">
      <c r="A4" s="287" t="s">
        <v>469</v>
      </c>
      <c r="B4" s="287" t="s">
        <v>494</v>
      </c>
      <c r="C4" s="287" t="s">
        <v>473</v>
      </c>
      <c r="D4" s="287" t="s">
        <v>495</v>
      </c>
      <c r="E4" s="287" t="s">
        <v>526</v>
      </c>
      <c r="F4" s="287" t="s">
        <v>496</v>
      </c>
      <c r="G4" s="287" t="s">
        <v>484</v>
      </c>
      <c r="H4" s="292">
        <v>6</v>
      </c>
      <c r="I4" s="287" t="s">
        <v>485</v>
      </c>
      <c r="J4" s="287" t="s">
        <v>486</v>
      </c>
      <c r="K4" s="287" t="s">
        <v>497</v>
      </c>
      <c r="L4" s="287" t="s">
        <v>469</v>
      </c>
      <c r="M4" s="287" t="s">
        <v>469</v>
      </c>
    </row>
    <row r="5" spans="1:13" x14ac:dyDescent="0.35">
      <c r="A5" s="287" t="s">
        <v>469</v>
      </c>
      <c r="B5" s="287" t="s">
        <v>527</v>
      </c>
      <c r="C5" s="287" t="s">
        <v>473</v>
      </c>
      <c r="D5" s="287" t="s">
        <v>528</v>
      </c>
      <c r="E5" s="287" t="s">
        <v>529</v>
      </c>
      <c r="F5" s="287" t="s">
        <v>488</v>
      </c>
      <c r="G5" s="287" t="s">
        <v>484</v>
      </c>
      <c r="H5" s="292">
        <v>2</v>
      </c>
      <c r="I5" s="287" t="s">
        <v>485</v>
      </c>
      <c r="J5" s="287" t="s">
        <v>486</v>
      </c>
      <c r="K5" s="287" t="s">
        <v>530</v>
      </c>
      <c r="L5" s="287" t="s">
        <v>469</v>
      </c>
      <c r="M5" s="287" t="s">
        <v>469</v>
      </c>
    </row>
    <row r="6" spans="1:13" x14ac:dyDescent="0.35">
      <c r="A6" s="287" t="s">
        <v>498</v>
      </c>
      <c r="B6" s="287" t="s">
        <v>499</v>
      </c>
      <c r="C6" s="287" t="s">
        <v>473</v>
      </c>
      <c r="D6" s="287" t="s">
        <v>500</v>
      </c>
      <c r="E6" s="287" t="s">
        <v>531</v>
      </c>
      <c r="F6" s="287" t="s">
        <v>488</v>
      </c>
      <c r="G6" s="287" t="s">
        <v>484</v>
      </c>
      <c r="H6" s="292">
        <v>2</v>
      </c>
      <c r="I6" s="287" t="s">
        <v>485</v>
      </c>
      <c r="J6" s="287" t="s">
        <v>486</v>
      </c>
      <c r="K6" s="287" t="s">
        <v>501</v>
      </c>
      <c r="L6" s="287" t="s">
        <v>469</v>
      </c>
      <c r="M6" s="287" t="s">
        <v>469</v>
      </c>
    </row>
    <row r="7" spans="1:13" x14ac:dyDescent="0.35">
      <c r="A7" s="287" t="s">
        <v>514</v>
      </c>
      <c r="B7" s="287" t="s">
        <v>487</v>
      </c>
      <c r="C7" s="287" t="s">
        <v>473</v>
      </c>
      <c r="D7" s="287" t="s">
        <v>515</v>
      </c>
      <c r="E7" s="287" t="s">
        <v>532</v>
      </c>
      <c r="F7" s="287" t="s">
        <v>488</v>
      </c>
      <c r="G7" s="287" t="s">
        <v>484</v>
      </c>
      <c r="H7" s="292">
        <v>2</v>
      </c>
      <c r="I7" s="287" t="s">
        <v>485</v>
      </c>
      <c r="J7" s="287" t="s">
        <v>486</v>
      </c>
      <c r="K7" s="287" t="s">
        <v>516</v>
      </c>
      <c r="L7" s="287" t="s">
        <v>469</v>
      </c>
      <c r="M7" s="287" t="s">
        <v>469</v>
      </c>
    </row>
    <row r="8" spans="1:13" x14ac:dyDescent="0.35">
      <c r="A8" s="287" t="s">
        <v>489</v>
      </c>
      <c r="B8" s="287" t="s">
        <v>490</v>
      </c>
      <c r="C8" s="287" t="s">
        <v>473</v>
      </c>
      <c r="D8" s="287" t="s">
        <v>491</v>
      </c>
      <c r="E8" s="287" t="s">
        <v>533</v>
      </c>
      <c r="F8" s="287" t="s">
        <v>492</v>
      </c>
      <c r="G8" s="287" t="s">
        <v>484</v>
      </c>
      <c r="H8" s="292">
        <v>4</v>
      </c>
      <c r="I8" s="287" t="s">
        <v>485</v>
      </c>
      <c r="J8" s="287" t="s">
        <v>486</v>
      </c>
      <c r="K8" s="287" t="s">
        <v>493</v>
      </c>
      <c r="L8" s="287" t="s">
        <v>469</v>
      </c>
      <c r="M8" s="287" t="s">
        <v>469</v>
      </c>
    </row>
    <row r="9" spans="1:13" x14ac:dyDescent="0.35">
      <c r="A9" s="287" t="s">
        <v>469</v>
      </c>
      <c r="B9" s="287" t="s">
        <v>534</v>
      </c>
      <c r="C9" s="287" t="s">
        <v>473</v>
      </c>
      <c r="D9" s="287" t="s">
        <v>535</v>
      </c>
      <c r="E9" s="287" t="s">
        <v>536</v>
      </c>
      <c r="F9" s="287" t="s">
        <v>537</v>
      </c>
      <c r="G9" s="287" t="s">
        <v>484</v>
      </c>
      <c r="H9" s="292">
        <v>3</v>
      </c>
      <c r="I9" s="287" t="s">
        <v>502</v>
      </c>
      <c r="J9" s="287" t="s">
        <v>517</v>
      </c>
      <c r="K9" s="287" t="s">
        <v>534</v>
      </c>
      <c r="L9" s="287" t="s">
        <v>469</v>
      </c>
      <c r="M9" s="287" t="s">
        <v>469</v>
      </c>
    </row>
    <row r="10" spans="1:13" x14ac:dyDescent="0.35">
      <c r="A10" s="286"/>
      <c r="B10" s="287" t="s">
        <v>538</v>
      </c>
      <c r="C10" s="287" t="s">
        <v>473</v>
      </c>
      <c r="D10" s="287" t="s">
        <v>539</v>
      </c>
      <c r="E10" s="287" t="s">
        <v>540</v>
      </c>
      <c r="F10" s="287" t="s">
        <v>541</v>
      </c>
      <c r="G10" s="287" t="s">
        <v>484</v>
      </c>
      <c r="H10" s="292">
        <v>1</v>
      </c>
      <c r="I10" s="287" t="s">
        <v>474</v>
      </c>
      <c r="J10" s="287" t="s">
        <v>542</v>
      </c>
      <c r="K10" s="287" t="s">
        <v>543</v>
      </c>
      <c r="L10" s="286"/>
      <c r="M10" s="286"/>
    </row>
    <row r="11" spans="1:13" x14ac:dyDescent="0.35">
      <c r="A11" s="287" t="s">
        <v>469</v>
      </c>
      <c r="B11" s="287" t="s">
        <v>544</v>
      </c>
      <c r="C11" s="287" t="s">
        <v>473</v>
      </c>
      <c r="D11" s="287" t="s">
        <v>545</v>
      </c>
      <c r="E11" s="287" t="s">
        <v>546</v>
      </c>
      <c r="F11" s="287" t="s">
        <v>547</v>
      </c>
      <c r="G11" s="287" t="s">
        <v>484</v>
      </c>
      <c r="H11" s="292">
        <v>3</v>
      </c>
      <c r="I11" s="287" t="s">
        <v>474</v>
      </c>
      <c r="J11" s="287" t="s">
        <v>472</v>
      </c>
      <c r="K11" s="287" t="s">
        <v>544</v>
      </c>
      <c r="L11" s="287" t="s">
        <v>469</v>
      </c>
      <c r="M11" s="287" t="s">
        <v>469</v>
      </c>
    </row>
    <row r="12" spans="1:13" x14ac:dyDescent="0.35">
      <c r="A12" s="286"/>
      <c r="B12" s="287" t="s">
        <v>548</v>
      </c>
      <c r="C12" s="287" t="s">
        <v>473</v>
      </c>
      <c r="D12" s="287" t="s">
        <v>549</v>
      </c>
      <c r="E12" s="287" t="s">
        <v>550</v>
      </c>
      <c r="F12" s="287" t="s">
        <v>551</v>
      </c>
      <c r="G12" s="287" t="s">
        <v>484</v>
      </c>
      <c r="H12" s="292">
        <v>1</v>
      </c>
      <c r="I12" s="287" t="s">
        <v>474</v>
      </c>
      <c r="J12" s="287" t="s">
        <v>542</v>
      </c>
      <c r="K12" s="287" t="s">
        <v>548</v>
      </c>
      <c r="L12" s="286"/>
      <c r="M12" s="286"/>
    </row>
    <row r="13" spans="1:13" x14ac:dyDescent="0.35">
      <c r="A13" s="286"/>
      <c r="B13" s="287" t="s">
        <v>552</v>
      </c>
      <c r="C13" s="287" t="s">
        <v>473</v>
      </c>
      <c r="D13" s="287" t="s">
        <v>553</v>
      </c>
      <c r="E13" s="287" t="s">
        <v>554</v>
      </c>
      <c r="F13" s="287" t="s">
        <v>552</v>
      </c>
      <c r="G13" s="287" t="s">
        <v>484</v>
      </c>
      <c r="H13" s="292">
        <v>1</v>
      </c>
      <c r="I13" s="287" t="s">
        <v>555</v>
      </c>
      <c r="J13" s="287" t="s">
        <v>556</v>
      </c>
      <c r="K13" s="287" t="s">
        <v>552</v>
      </c>
      <c r="L13" s="286"/>
      <c r="M13" s="286"/>
    </row>
    <row r="14" spans="1:13" x14ac:dyDescent="0.35">
      <c r="A14" s="287" t="s">
        <v>469</v>
      </c>
      <c r="B14" s="287" t="s">
        <v>557</v>
      </c>
      <c r="C14" s="287" t="s">
        <v>473</v>
      </c>
      <c r="D14" s="287" t="s">
        <v>558</v>
      </c>
      <c r="E14" s="287" t="s">
        <v>559</v>
      </c>
      <c r="F14" s="287" t="s">
        <v>547</v>
      </c>
      <c r="G14" s="287" t="s">
        <v>484</v>
      </c>
      <c r="H14" s="292">
        <v>3</v>
      </c>
      <c r="I14" s="287" t="s">
        <v>474</v>
      </c>
      <c r="J14" s="287" t="s">
        <v>560</v>
      </c>
      <c r="K14" s="287" t="s">
        <v>557</v>
      </c>
      <c r="L14" s="287" t="s">
        <v>469</v>
      </c>
      <c r="M14" s="287" t="s">
        <v>469</v>
      </c>
    </row>
    <row r="15" spans="1:13" x14ac:dyDescent="0.35">
      <c r="A15" s="286"/>
      <c r="B15" s="287" t="s">
        <v>561</v>
      </c>
      <c r="C15" s="287" t="s">
        <v>473</v>
      </c>
      <c r="D15" s="287" t="s">
        <v>562</v>
      </c>
      <c r="E15" s="287" t="s">
        <v>563</v>
      </c>
      <c r="F15" s="287" t="s">
        <v>564</v>
      </c>
      <c r="G15" s="287" t="s">
        <v>484</v>
      </c>
      <c r="H15" s="292">
        <v>1</v>
      </c>
      <c r="I15" s="287" t="s">
        <v>474</v>
      </c>
      <c r="J15" s="287" t="s">
        <v>472</v>
      </c>
      <c r="K15" s="287" t="s">
        <v>561</v>
      </c>
      <c r="L15" s="286"/>
      <c r="M15" s="286"/>
    </row>
    <row r="16" spans="1:13" x14ac:dyDescent="0.35">
      <c r="A16" s="286"/>
      <c r="B16" s="287" t="s">
        <v>570</v>
      </c>
      <c r="C16" s="287" t="s">
        <v>473</v>
      </c>
      <c r="D16" s="287" t="s">
        <v>571</v>
      </c>
      <c r="E16" s="287" t="s">
        <v>572</v>
      </c>
      <c r="F16" s="287" t="s">
        <v>573</v>
      </c>
      <c r="G16" s="287" t="s">
        <v>484</v>
      </c>
      <c r="H16" s="292">
        <v>1</v>
      </c>
      <c r="I16" s="287" t="s">
        <v>574</v>
      </c>
      <c r="J16" s="287" t="s">
        <v>486</v>
      </c>
      <c r="K16" s="287" t="s">
        <v>575</v>
      </c>
      <c r="L16" s="286"/>
      <c r="M16" s="286"/>
    </row>
    <row r="17" spans="1:13" x14ac:dyDescent="0.35">
      <c r="A17" s="286"/>
      <c r="B17" s="287" t="s">
        <v>576</v>
      </c>
      <c r="C17" s="287" t="s">
        <v>473</v>
      </c>
      <c r="D17" s="287" t="s">
        <v>577</v>
      </c>
      <c r="E17" s="287" t="s">
        <v>578</v>
      </c>
      <c r="F17" s="287" t="s">
        <v>579</v>
      </c>
      <c r="G17" s="287" t="s">
        <v>484</v>
      </c>
      <c r="H17" s="292">
        <v>1</v>
      </c>
      <c r="I17" s="287" t="s">
        <v>580</v>
      </c>
      <c r="J17" s="287" t="s">
        <v>581</v>
      </c>
      <c r="K17" s="287" t="s">
        <v>576</v>
      </c>
      <c r="L17" s="286"/>
      <c r="M17" s="286"/>
    </row>
    <row r="18" spans="1:13" x14ac:dyDescent="0.35">
      <c r="A18" s="286"/>
      <c r="B18" s="287" t="s">
        <v>582</v>
      </c>
      <c r="C18" s="287" t="s">
        <v>473</v>
      </c>
      <c r="D18" s="287" t="s">
        <v>583</v>
      </c>
      <c r="E18" s="287" t="s">
        <v>584</v>
      </c>
      <c r="F18" s="287" t="s">
        <v>505</v>
      </c>
      <c r="G18" s="287" t="s">
        <v>484</v>
      </c>
      <c r="H18" s="292">
        <v>1</v>
      </c>
      <c r="I18" s="287" t="s">
        <v>503</v>
      </c>
      <c r="J18" s="287" t="s">
        <v>470</v>
      </c>
      <c r="K18" s="287" t="s">
        <v>585</v>
      </c>
      <c r="L18" s="286"/>
      <c r="M18" s="286"/>
    </row>
    <row r="19" spans="1:13" x14ac:dyDescent="0.35">
      <c r="A19" s="287" t="s">
        <v>507</v>
      </c>
      <c r="B19" s="287" t="s">
        <v>508</v>
      </c>
      <c r="C19" s="287" t="s">
        <v>473</v>
      </c>
      <c r="D19" s="287" t="s">
        <v>509</v>
      </c>
      <c r="E19" s="287" t="s">
        <v>586</v>
      </c>
      <c r="F19" s="287" t="s">
        <v>505</v>
      </c>
      <c r="G19" s="287" t="s">
        <v>484</v>
      </c>
      <c r="H19" s="292">
        <v>2</v>
      </c>
      <c r="I19" s="287" t="s">
        <v>503</v>
      </c>
      <c r="J19" s="287" t="s">
        <v>470</v>
      </c>
      <c r="K19" s="287" t="s">
        <v>471</v>
      </c>
      <c r="L19" s="287" t="s">
        <v>469</v>
      </c>
      <c r="M19" s="287" t="s">
        <v>469</v>
      </c>
    </row>
    <row r="20" spans="1:13" x14ac:dyDescent="0.35">
      <c r="A20" s="286"/>
      <c r="B20" s="287" t="s">
        <v>587</v>
      </c>
      <c r="C20" s="287" t="s">
        <v>473</v>
      </c>
      <c r="D20" s="287" t="s">
        <v>588</v>
      </c>
      <c r="E20" s="287" t="s">
        <v>589</v>
      </c>
      <c r="F20" s="287" t="s">
        <v>505</v>
      </c>
      <c r="G20" s="287" t="s">
        <v>484</v>
      </c>
      <c r="H20" s="292">
        <v>1</v>
      </c>
      <c r="I20" s="287" t="s">
        <v>503</v>
      </c>
      <c r="J20" s="287" t="s">
        <v>470</v>
      </c>
      <c r="K20" s="287" t="s">
        <v>590</v>
      </c>
      <c r="L20" s="286"/>
      <c r="M20" s="286"/>
    </row>
    <row r="21" spans="1:13" x14ac:dyDescent="0.35">
      <c r="A21" s="286"/>
      <c r="B21" s="287" t="s">
        <v>506</v>
      </c>
      <c r="C21" s="287" t="s">
        <v>473</v>
      </c>
      <c r="D21" s="287" t="s">
        <v>510</v>
      </c>
      <c r="E21" s="287" t="s">
        <v>591</v>
      </c>
      <c r="F21" s="287" t="s">
        <v>505</v>
      </c>
      <c r="G21" s="287" t="s">
        <v>484</v>
      </c>
      <c r="H21" s="292">
        <v>1</v>
      </c>
      <c r="I21" s="287" t="s">
        <v>503</v>
      </c>
      <c r="J21" s="287" t="s">
        <v>470</v>
      </c>
      <c r="K21" s="287" t="s">
        <v>511</v>
      </c>
      <c r="L21" s="286"/>
      <c r="M21" s="286"/>
    </row>
    <row r="22" spans="1:13" x14ac:dyDescent="0.35">
      <c r="A22" s="286"/>
      <c r="B22" s="287" t="s">
        <v>592</v>
      </c>
      <c r="C22" s="287" t="s">
        <v>473</v>
      </c>
      <c r="D22" s="287" t="s">
        <v>593</v>
      </c>
      <c r="E22" s="287" t="s">
        <v>594</v>
      </c>
      <c r="F22" s="287" t="s">
        <v>595</v>
      </c>
      <c r="G22" s="287" t="s">
        <v>484</v>
      </c>
      <c r="H22" s="292">
        <v>1</v>
      </c>
      <c r="I22" s="287" t="s">
        <v>503</v>
      </c>
      <c r="J22" s="287" t="s">
        <v>504</v>
      </c>
      <c r="K22" s="287" t="s">
        <v>596</v>
      </c>
      <c r="L22" s="286"/>
      <c r="M22" s="286"/>
    </row>
    <row r="23" spans="1:13" x14ac:dyDescent="0.35">
      <c r="A23" s="287" t="s">
        <v>597</v>
      </c>
      <c r="B23" s="287" t="s">
        <v>598</v>
      </c>
      <c r="C23" s="287" t="s">
        <v>473</v>
      </c>
      <c r="D23" s="287" t="s">
        <v>599</v>
      </c>
      <c r="E23" s="287" t="s">
        <v>600</v>
      </c>
      <c r="F23" s="287" t="s">
        <v>505</v>
      </c>
      <c r="G23" s="287" t="s">
        <v>484</v>
      </c>
      <c r="H23" s="292">
        <v>7</v>
      </c>
      <c r="I23" s="287" t="s">
        <v>503</v>
      </c>
      <c r="J23" s="287" t="s">
        <v>504</v>
      </c>
      <c r="K23" s="287" t="s">
        <v>601</v>
      </c>
      <c r="L23" s="287" t="s">
        <v>469</v>
      </c>
      <c r="M23" s="287" t="s">
        <v>469</v>
      </c>
    </row>
    <row r="24" spans="1:13" x14ac:dyDescent="0.35">
      <c r="A24" s="287" t="s">
        <v>469</v>
      </c>
      <c r="B24" s="287" t="s">
        <v>602</v>
      </c>
      <c r="C24" s="287" t="s">
        <v>473</v>
      </c>
      <c r="D24" s="287" t="s">
        <v>603</v>
      </c>
      <c r="E24" s="287" t="s">
        <v>604</v>
      </c>
      <c r="F24" s="287" t="s">
        <v>605</v>
      </c>
      <c r="G24" s="287" t="s">
        <v>484</v>
      </c>
      <c r="H24" s="292">
        <v>3</v>
      </c>
      <c r="I24" s="287" t="s">
        <v>503</v>
      </c>
      <c r="J24" s="287" t="s">
        <v>504</v>
      </c>
      <c r="K24" s="287" t="s">
        <v>606</v>
      </c>
      <c r="L24" s="287" t="s">
        <v>469</v>
      </c>
      <c r="M24" s="287" t="s">
        <v>469</v>
      </c>
    </row>
    <row r="25" spans="1:13" x14ac:dyDescent="0.35">
      <c r="A25" s="286"/>
      <c r="B25" s="287" t="s">
        <v>602</v>
      </c>
      <c r="C25" s="287" t="s">
        <v>473</v>
      </c>
      <c r="D25" s="287" t="s">
        <v>607</v>
      </c>
      <c r="E25" s="287" t="s">
        <v>608</v>
      </c>
      <c r="F25" s="287" t="s">
        <v>609</v>
      </c>
      <c r="G25" s="287" t="s">
        <v>484</v>
      </c>
      <c r="H25" s="292">
        <v>1</v>
      </c>
      <c r="I25" s="287" t="s">
        <v>503</v>
      </c>
      <c r="J25" s="287" t="s">
        <v>504</v>
      </c>
      <c r="K25" s="287" t="s">
        <v>610</v>
      </c>
      <c r="L25" s="286"/>
      <c r="M25" s="286"/>
    </row>
    <row r="26" spans="1:13" s="290" customFormat="1" x14ac:dyDescent="0.35">
      <c r="A26" s="289" t="s">
        <v>469</v>
      </c>
      <c r="B26" s="289" t="s">
        <v>565</v>
      </c>
      <c r="C26" s="289" t="s">
        <v>611</v>
      </c>
      <c r="D26" s="289" t="s">
        <v>566</v>
      </c>
      <c r="E26" s="289" t="s">
        <v>567</v>
      </c>
      <c r="F26" s="289" t="s">
        <v>565</v>
      </c>
      <c r="G26" s="289" t="s">
        <v>484</v>
      </c>
      <c r="H26" s="293">
        <v>3</v>
      </c>
      <c r="I26" s="289" t="s">
        <v>568</v>
      </c>
      <c r="J26" s="289" t="s">
        <v>569</v>
      </c>
      <c r="K26" s="289" t="s">
        <v>565</v>
      </c>
      <c r="L26" s="289" t="s">
        <v>469</v>
      </c>
      <c r="M26" s="289" t="s">
        <v>469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AH1881"/>
  <sheetViews>
    <sheetView view="pageLayout" zoomScale="70" zoomScaleNormal="100" zoomScaleSheetLayoutView="85" zoomScalePageLayoutView="70" workbookViewId="0">
      <selection activeCell="E5" sqref="E5"/>
    </sheetView>
  </sheetViews>
  <sheetFormatPr defaultColWidth="0.7265625" defaultRowHeight="12.5" x14ac:dyDescent="0.25"/>
  <cols>
    <col min="1" max="1" width="24.81640625" style="109" customWidth="1"/>
    <col min="2" max="3" width="16.81640625" style="109" customWidth="1"/>
    <col min="4" max="4" width="18" style="109" customWidth="1"/>
    <col min="5" max="5" width="20.26953125" style="112" customWidth="1"/>
    <col min="6" max="6" width="54" style="109" customWidth="1"/>
    <col min="7" max="8" width="20.54296875" style="109" customWidth="1"/>
    <col min="9" max="9" width="28.7265625" style="109" customWidth="1"/>
    <col min="10" max="10" width="59.54296875" style="109" customWidth="1"/>
    <col min="11" max="11" width="16.26953125" style="109" bestFit="1" customWidth="1"/>
    <col min="12" max="38" width="4.26953125" style="109" customWidth="1"/>
    <col min="39" max="16384" width="0.7265625" style="109"/>
  </cols>
  <sheetData>
    <row r="1" spans="3:34" ht="15.5" x14ac:dyDescent="0.35">
      <c r="AF1" s="1"/>
    </row>
    <row r="2" spans="3:34" ht="15.5" x14ac:dyDescent="0.35">
      <c r="AB2" s="1"/>
      <c r="AE2" s="1"/>
      <c r="AF2" s="1"/>
      <c r="AG2" s="1"/>
    </row>
    <row r="3" spans="3:34" ht="15.5" x14ac:dyDescent="0.35">
      <c r="AB3" s="1"/>
      <c r="AF3" s="1"/>
      <c r="AG3" s="1"/>
      <c r="AH3" s="1"/>
    </row>
    <row r="4" spans="3:34" ht="15.5" x14ac:dyDescent="0.35">
      <c r="AB4" s="1"/>
      <c r="AF4" s="1"/>
      <c r="AG4" s="1"/>
      <c r="AH4" s="1"/>
    </row>
    <row r="5" spans="3:34" ht="15.5" x14ac:dyDescent="0.35">
      <c r="AB5" s="1"/>
      <c r="AF5" s="1"/>
      <c r="AG5" s="1"/>
      <c r="AH5" s="1"/>
    </row>
    <row r="8" spans="3:34" ht="19.5" customHeight="1" x14ac:dyDescent="0.25"/>
    <row r="9" spans="3:34" ht="19.5" customHeight="1" x14ac:dyDescent="0.25"/>
    <row r="10" spans="3:34" ht="19.5" customHeight="1" x14ac:dyDescent="0.25"/>
    <row r="11" spans="3:34" ht="19.5" customHeight="1" x14ac:dyDescent="0.25"/>
    <row r="12" spans="3:34" ht="19.5" customHeight="1" x14ac:dyDescent="0.25"/>
    <row r="13" spans="3:34" ht="19.5" customHeight="1" x14ac:dyDescent="0.25"/>
    <row r="14" spans="3:34" ht="19.5" customHeight="1" x14ac:dyDescent="0.25"/>
    <row r="15" spans="3:34" ht="19.5" customHeight="1" x14ac:dyDescent="0.4">
      <c r="C15" s="328" t="s">
        <v>213</v>
      </c>
      <c r="D15" s="328"/>
      <c r="E15" s="328"/>
      <c r="F15" s="328"/>
      <c r="G15" s="328"/>
      <c r="H15" s="328"/>
      <c r="I15" s="328"/>
    </row>
    <row r="16" spans="3:34" ht="19.5" customHeight="1" x14ac:dyDescent="0.35">
      <c r="C16" s="110"/>
      <c r="D16" s="110"/>
      <c r="E16" s="113"/>
      <c r="F16" s="110"/>
      <c r="G16" s="110"/>
      <c r="H16" s="110"/>
      <c r="I16" s="110"/>
    </row>
    <row r="17" spans="2:8" ht="19.5" customHeight="1" x14ac:dyDescent="0.25">
      <c r="B17" s="111" t="s">
        <v>0</v>
      </c>
      <c r="C17" s="111" t="s">
        <v>1</v>
      </c>
      <c r="D17" s="195" t="s">
        <v>2</v>
      </c>
      <c r="E17" s="111" t="s">
        <v>5</v>
      </c>
      <c r="F17" s="193" t="s">
        <v>3</v>
      </c>
      <c r="G17" s="111" t="s">
        <v>437</v>
      </c>
      <c r="H17" s="111" t="s">
        <v>4</v>
      </c>
    </row>
    <row r="18" spans="2:8" ht="17.5" x14ac:dyDescent="0.25">
      <c r="B18" s="196"/>
      <c r="C18" s="196"/>
      <c r="D18" s="260" t="s">
        <v>255</v>
      </c>
      <c r="E18" s="261" t="s">
        <v>253</v>
      </c>
      <c r="F18" s="194" t="s">
        <v>256</v>
      </c>
      <c r="G18" s="196" t="s">
        <v>260</v>
      </c>
      <c r="H18" s="196" t="s">
        <v>438</v>
      </c>
    </row>
    <row r="19" spans="2:8" ht="17.5" x14ac:dyDescent="0.25">
      <c r="B19" s="196"/>
      <c r="C19" s="196"/>
      <c r="D19" s="260" t="s">
        <v>258</v>
      </c>
      <c r="E19" s="261" t="s">
        <v>254</v>
      </c>
      <c r="F19" s="194" t="s">
        <v>257</v>
      </c>
      <c r="G19" s="196" t="s">
        <v>259</v>
      </c>
      <c r="H19" s="196" t="s">
        <v>259</v>
      </c>
    </row>
    <row r="20" spans="2:8" ht="35" x14ac:dyDescent="0.25">
      <c r="B20" s="196"/>
      <c r="C20" s="196"/>
      <c r="D20" s="260" t="s">
        <v>261</v>
      </c>
      <c r="E20" s="261" t="s">
        <v>262</v>
      </c>
      <c r="F20" s="194" t="s">
        <v>263</v>
      </c>
      <c r="G20" s="196" t="s">
        <v>259</v>
      </c>
      <c r="H20" s="196" t="s">
        <v>259</v>
      </c>
    </row>
    <row r="21" spans="2:8" ht="52.5" x14ac:dyDescent="0.25">
      <c r="B21" s="196"/>
      <c r="C21" s="196"/>
      <c r="D21" s="260">
        <v>41675</v>
      </c>
      <c r="E21" s="261">
        <v>4</v>
      </c>
      <c r="F21" s="194" t="s">
        <v>415</v>
      </c>
      <c r="G21" s="196" t="s">
        <v>264</v>
      </c>
      <c r="H21" s="196" t="s">
        <v>439</v>
      </c>
    </row>
    <row r="22" spans="2:8" ht="52.5" x14ac:dyDescent="0.25">
      <c r="B22" s="196"/>
      <c r="C22" s="196"/>
      <c r="D22" s="260">
        <v>41691</v>
      </c>
      <c r="E22" s="261">
        <v>5</v>
      </c>
      <c r="F22" s="194" t="s">
        <v>444</v>
      </c>
      <c r="G22" s="196" t="s">
        <v>264</v>
      </c>
      <c r="H22" s="196" t="s">
        <v>439</v>
      </c>
    </row>
    <row r="23" spans="2:8" ht="87.5" x14ac:dyDescent="0.25">
      <c r="B23" s="196"/>
      <c r="C23" s="196"/>
      <c r="D23" s="260">
        <v>41701</v>
      </c>
      <c r="E23" s="261">
        <v>6</v>
      </c>
      <c r="F23" s="194" t="s">
        <v>447</v>
      </c>
      <c r="G23" s="196" t="s">
        <v>264</v>
      </c>
      <c r="H23" s="196" t="s">
        <v>439</v>
      </c>
    </row>
    <row r="24" spans="2:8" ht="87.5" x14ac:dyDescent="0.25">
      <c r="B24" s="196"/>
      <c r="C24" s="196"/>
      <c r="D24" s="260">
        <v>42601</v>
      </c>
      <c r="E24" s="261">
        <v>7</v>
      </c>
      <c r="F24" s="194" t="s">
        <v>463</v>
      </c>
      <c r="G24" s="196" t="s">
        <v>461</v>
      </c>
      <c r="H24" s="196" t="s">
        <v>439</v>
      </c>
    </row>
    <row r="25" spans="2:8" ht="19.5" customHeight="1" x14ac:dyDescent="0.25">
      <c r="B25" s="196"/>
      <c r="C25" s="196"/>
      <c r="D25" s="260"/>
      <c r="E25" s="261"/>
      <c r="F25" s="194"/>
      <c r="G25" s="196"/>
      <c r="H25" s="196"/>
    </row>
    <row r="26" spans="2:8" ht="19.5" customHeight="1" x14ac:dyDescent="0.25">
      <c r="B26" s="196"/>
      <c r="C26" s="196"/>
      <c r="D26" s="260"/>
      <c r="E26" s="261"/>
      <c r="F26" s="194"/>
      <c r="G26" s="196"/>
      <c r="H26" s="196"/>
    </row>
    <row r="27" spans="2:8" ht="19.5" customHeight="1" x14ac:dyDescent="0.25">
      <c r="B27" s="196"/>
      <c r="C27" s="196"/>
      <c r="D27" s="260"/>
      <c r="E27" s="261"/>
      <c r="F27" s="194"/>
      <c r="G27" s="196"/>
      <c r="H27" s="196"/>
    </row>
    <row r="28" spans="2:8" ht="19.5" customHeight="1" x14ac:dyDescent="0.25">
      <c r="B28" s="196"/>
      <c r="C28" s="196"/>
      <c r="D28" s="260"/>
      <c r="E28" s="261"/>
      <c r="F28" s="194"/>
      <c r="G28" s="196"/>
      <c r="H28" s="196"/>
    </row>
    <row r="29" spans="2:8" ht="19.5" customHeight="1" x14ac:dyDescent="0.25">
      <c r="B29" s="196"/>
      <c r="C29" s="196"/>
      <c r="D29" s="260"/>
      <c r="E29" s="261"/>
      <c r="F29" s="194"/>
      <c r="G29" s="196"/>
      <c r="H29" s="196"/>
    </row>
    <row r="30" spans="2:8" ht="19.5" customHeight="1" x14ac:dyDescent="0.25">
      <c r="B30" s="196"/>
      <c r="C30" s="196"/>
      <c r="D30" s="260"/>
      <c r="E30" s="261"/>
      <c r="F30" s="283"/>
      <c r="G30" s="196"/>
      <c r="H30" s="196"/>
    </row>
    <row r="31" spans="2:8" ht="17.5" x14ac:dyDescent="0.25">
      <c r="B31" s="196"/>
      <c r="C31" s="196"/>
      <c r="D31" s="260"/>
      <c r="E31" s="261"/>
      <c r="F31" s="283"/>
      <c r="G31" s="196"/>
      <c r="H31" s="196"/>
    </row>
    <row r="32" spans="2:8" ht="17.5" x14ac:dyDescent="0.25">
      <c r="B32" s="196"/>
      <c r="C32" s="196"/>
      <c r="D32" s="260"/>
      <c r="E32" s="261"/>
      <c r="F32" s="283"/>
      <c r="G32" s="196"/>
      <c r="H32" s="196"/>
    </row>
    <row r="33" spans="2:8" ht="17.5" x14ac:dyDescent="0.25">
      <c r="B33" s="196"/>
      <c r="C33" s="196"/>
      <c r="D33" s="260"/>
      <c r="E33" s="261"/>
      <c r="F33" s="283"/>
      <c r="G33" s="196"/>
      <c r="H33" s="196"/>
    </row>
    <row r="34" spans="2:8" ht="17.5" x14ac:dyDescent="0.25">
      <c r="B34" s="196"/>
      <c r="C34" s="196"/>
      <c r="D34" s="260"/>
      <c r="E34" s="261"/>
      <c r="F34" s="283"/>
      <c r="G34" s="196"/>
      <c r="H34" s="196"/>
    </row>
    <row r="35" spans="2:8" ht="20.149999999999999" customHeight="1" x14ac:dyDescent="0.25">
      <c r="B35" s="196"/>
      <c r="C35" s="196"/>
      <c r="D35" s="260"/>
      <c r="E35" s="261"/>
      <c r="F35" s="283"/>
      <c r="G35" s="196"/>
      <c r="H35" s="196"/>
    </row>
    <row r="36" spans="2:8" ht="20.149999999999999" customHeight="1" x14ac:dyDescent="0.25">
      <c r="B36" s="196"/>
      <c r="C36" s="196"/>
      <c r="D36" s="260"/>
      <c r="E36" s="261"/>
      <c r="F36" s="283"/>
      <c r="G36" s="196"/>
      <c r="H36" s="196"/>
    </row>
    <row r="37" spans="2:8" ht="20.149999999999999" customHeight="1" x14ac:dyDescent="0.25">
      <c r="B37" s="196"/>
      <c r="C37" s="196"/>
      <c r="D37" s="260"/>
      <c r="E37" s="261"/>
      <c r="F37" s="283"/>
      <c r="G37" s="196"/>
      <c r="H37" s="196"/>
    </row>
    <row r="38" spans="2:8" ht="20.149999999999999" customHeight="1" x14ac:dyDescent="0.25">
      <c r="B38" s="196"/>
      <c r="C38" s="196"/>
      <c r="D38" s="260"/>
      <c r="E38" s="261"/>
      <c r="F38" s="283"/>
      <c r="G38" s="196"/>
      <c r="H38" s="196"/>
    </row>
    <row r="39" spans="2:8" ht="20.149999999999999" customHeight="1" x14ac:dyDescent="0.25">
      <c r="B39" s="196"/>
      <c r="C39" s="196"/>
      <c r="D39" s="260"/>
      <c r="E39" s="261"/>
      <c r="F39" s="283"/>
      <c r="G39" s="196"/>
      <c r="H39" s="196"/>
    </row>
    <row r="40" spans="2:8" ht="20.149999999999999" customHeight="1" x14ac:dyDescent="0.25">
      <c r="B40" s="196"/>
      <c r="C40" s="196"/>
      <c r="D40" s="260"/>
      <c r="E40" s="261"/>
      <c r="F40" s="283"/>
      <c r="G40" s="196"/>
      <c r="H40" s="196"/>
    </row>
    <row r="41" spans="2:8" ht="20.149999999999999" customHeight="1" x14ac:dyDescent="0.25">
      <c r="B41" s="196"/>
      <c r="C41" s="196"/>
      <c r="D41" s="260"/>
      <c r="E41" s="261"/>
      <c r="F41" s="283"/>
      <c r="G41" s="196"/>
      <c r="H41" s="196"/>
    </row>
    <row r="42" spans="2:8" ht="20.149999999999999" customHeight="1" x14ac:dyDescent="0.25"/>
    <row r="43" spans="2:8" ht="20.149999999999999" customHeight="1" x14ac:dyDescent="0.25"/>
    <row r="44" spans="2:8" ht="20.149999999999999" customHeight="1" x14ac:dyDescent="0.25"/>
    <row r="45" spans="2:8" ht="20.149999999999999" customHeight="1" x14ac:dyDescent="0.25"/>
    <row r="46" spans="2:8" ht="20.149999999999999" customHeight="1" x14ac:dyDescent="0.25"/>
    <row r="47" spans="2:8" ht="20.149999999999999" customHeight="1" x14ac:dyDescent="0.25"/>
    <row r="48" spans="2:8" ht="20.149999999999999" customHeight="1" x14ac:dyDescent="0.25"/>
    <row r="49" ht="20.149999999999999" customHeight="1" x14ac:dyDescent="0.25"/>
    <row r="50" ht="20.149999999999999" customHeight="1" x14ac:dyDescent="0.25"/>
    <row r="51" ht="20.149999999999999" customHeight="1" x14ac:dyDescent="0.25"/>
    <row r="52" ht="20.149999999999999" customHeight="1" x14ac:dyDescent="0.25"/>
    <row r="53" ht="20.149999999999999" customHeight="1" x14ac:dyDescent="0.25"/>
    <row r="54" ht="20.149999999999999" customHeight="1" x14ac:dyDescent="0.25"/>
    <row r="55" ht="20.149999999999999" customHeight="1" x14ac:dyDescent="0.25"/>
    <row r="56" ht="20.149999999999999" customHeight="1" x14ac:dyDescent="0.25"/>
    <row r="57" ht="20.149999999999999" customHeight="1" x14ac:dyDescent="0.25"/>
    <row r="58" ht="20.149999999999999" customHeight="1" x14ac:dyDescent="0.25"/>
    <row r="59" ht="20.149999999999999" customHeight="1" x14ac:dyDescent="0.25"/>
    <row r="60" ht="20.149999999999999" customHeight="1" x14ac:dyDescent="0.25"/>
    <row r="61" ht="20.149999999999999" customHeight="1" x14ac:dyDescent="0.25"/>
    <row r="62" ht="20.149999999999999" customHeight="1" x14ac:dyDescent="0.25"/>
    <row r="63" ht="20.149999999999999" customHeight="1" x14ac:dyDescent="0.25"/>
    <row r="64" ht="20.149999999999999" customHeight="1" x14ac:dyDescent="0.25"/>
    <row r="65" ht="20.149999999999999" customHeight="1" x14ac:dyDescent="0.25"/>
    <row r="66" ht="20.149999999999999" customHeight="1" x14ac:dyDescent="0.25"/>
    <row r="67" ht="20.149999999999999" customHeight="1" x14ac:dyDescent="0.25"/>
    <row r="68" ht="20.149999999999999" customHeight="1" x14ac:dyDescent="0.25"/>
    <row r="69" ht="20.149999999999999" customHeight="1" x14ac:dyDescent="0.25"/>
    <row r="70" ht="20.149999999999999" customHeight="1" x14ac:dyDescent="0.25"/>
    <row r="71" ht="20.149999999999999" customHeight="1" x14ac:dyDescent="0.25"/>
    <row r="72" ht="20.149999999999999" customHeight="1" x14ac:dyDescent="0.25"/>
    <row r="73" ht="20.149999999999999" customHeight="1" x14ac:dyDescent="0.25"/>
    <row r="74" ht="20.149999999999999" customHeight="1" x14ac:dyDescent="0.25"/>
    <row r="75" ht="20.149999999999999" customHeight="1" x14ac:dyDescent="0.25"/>
    <row r="76" ht="20.149999999999999" customHeight="1" x14ac:dyDescent="0.25"/>
    <row r="77" ht="20.149999999999999" customHeight="1" x14ac:dyDescent="0.25"/>
    <row r="78" ht="20.149999999999999" customHeight="1" x14ac:dyDescent="0.25"/>
    <row r="79" ht="20.149999999999999" customHeight="1" x14ac:dyDescent="0.25"/>
    <row r="80" ht="20.149999999999999" customHeight="1" x14ac:dyDescent="0.25"/>
    <row r="81" ht="20.149999999999999" customHeight="1" x14ac:dyDescent="0.25"/>
    <row r="82" ht="20.149999999999999" customHeight="1" x14ac:dyDescent="0.25"/>
    <row r="83" ht="20.149999999999999" customHeight="1" x14ac:dyDescent="0.25"/>
    <row r="84" ht="20.149999999999999" customHeight="1" x14ac:dyDescent="0.25"/>
    <row r="85" ht="20.149999999999999" customHeight="1" x14ac:dyDescent="0.25"/>
    <row r="86" ht="20.149999999999999" customHeight="1" x14ac:dyDescent="0.25"/>
    <row r="87" ht="20.149999999999999" customHeight="1" x14ac:dyDescent="0.25"/>
    <row r="88" ht="20.149999999999999" customHeight="1" x14ac:dyDescent="0.25"/>
    <row r="89" ht="20.149999999999999" customHeight="1" x14ac:dyDescent="0.25"/>
    <row r="90" ht="20.149999999999999" customHeight="1" x14ac:dyDescent="0.25"/>
    <row r="91" ht="20.149999999999999" customHeight="1" x14ac:dyDescent="0.25"/>
    <row r="92" ht="20.149999999999999" customHeight="1" x14ac:dyDescent="0.25"/>
    <row r="93" ht="20.149999999999999" customHeight="1" x14ac:dyDescent="0.25"/>
    <row r="94" ht="20.149999999999999" customHeight="1" x14ac:dyDescent="0.25"/>
    <row r="95" ht="20.149999999999999" customHeight="1" x14ac:dyDescent="0.25"/>
    <row r="96" ht="20.149999999999999" customHeight="1" x14ac:dyDescent="0.25"/>
    <row r="97" ht="20.149999999999999" customHeight="1" x14ac:dyDescent="0.25"/>
    <row r="98" ht="20.149999999999999" customHeight="1" x14ac:dyDescent="0.25"/>
    <row r="99" ht="20.149999999999999" customHeight="1" x14ac:dyDescent="0.25"/>
    <row r="100" ht="20.149999999999999" customHeight="1" x14ac:dyDescent="0.25"/>
    <row r="101" ht="20.149999999999999" customHeight="1" x14ac:dyDescent="0.25"/>
    <row r="102" ht="20.149999999999999" customHeight="1" x14ac:dyDescent="0.25"/>
    <row r="103" ht="20.149999999999999" customHeight="1" x14ac:dyDescent="0.25"/>
    <row r="104" ht="20.149999999999999" customHeight="1" x14ac:dyDescent="0.25"/>
    <row r="105" ht="20.149999999999999" customHeight="1" x14ac:dyDescent="0.25"/>
    <row r="106" ht="20.149999999999999" customHeight="1" x14ac:dyDescent="0.25"/>
    <row r="107" ht="20.149999999999999" customHeight="1" x14ac:dyDescent="0.25"/>
    <row r="108" ht="20.149999999999999" customHeight="1" x14ac:dyDescent="0.25"/>
    <row r="109" ht="20.149999999999999" customHeight="1" x14ac:dyDescent="0.25"/>
    <row r="110" ht="20.149999999999999" customHeight="1" x14ac:dyDescent="0.25"/>
    <row r="111" ht="20.149999999999999" customHeight="1" x14ac:dyDescent="0.25"/>
    <row r="112" ht="20.149999999999999" customHeight="1" x14ac:dyDescent="0.25"/>
    <row r="113" ht="20.149999999999999" customHeight="1" x14ac:dyDescent="0.25"/>
    <row r="114" ht="20.149999999999999" customHeight="1" x14ac:dyDescent="0.25"/>
    <row r="115" ht="20.149999999999999" customHeight="1" x14ac:dyDescent="0.25"/>
    <row r="116" ht="20.149999999999999" customHeight="1" x14ac:dyDescent="0.25"/>
    <row r="117" ht="20.149999999999999" customHeight="1" x14ac:dyDescent="0.25"/>
    <row r="118" ht="20.149999999999999" customHeight="1" x14ac:dyDescent="0.25"/>
    <row r="119" ht="20.149999999999999" customHeight="1" x14ac:dyDescent="0.25"/>
    <row r="120" ht="20.149999999999999" customHeight="1" x14ac:dyDescent="0.25"/>
    <row r="121" ht="20.149999999999999" customHeight="1" x14ac:dyDescent="0.25"/>
    <row r="122" ht="20.149999999999999" customHeight="1" x14ac:dyDescent="0.25"/>
    <row r="123" ht="20.149999999999999" customHeight="1" x14ac:dyDescent="0.25"/>
    <row r="124" ht="20.149999999999999" customHeight="1" x14ac:dyDescent="0.25"/>
    <row r="125" ht="20.149999999999999" customHeight="1" x14ac:dyDescent="0.25"/>
    <row r="126" ht="20.149999999999999" customHeight="1" x14ac:dyDescent="0.25"/>
    <row r="127" ht="20.149999999999999" customHeight="1" x14ac:dyDescent="0.25"/>
    <row r="128" ht="20.149999999999999" customHeight="1" x14ac:dyDescent="0.25"/>
    <row r="129" ht="20.149999999999999" customHeight="1" x14ac:dyDescent="0.25"/>
    <row r="130" ht="20.149999999999999" customHeight="1" x14ac:dyDescent="0.25"/>
    <row r="131" ht="20.149999999999999" customHeight="1" x14ac:dyDescent="0.25"/>
    <row r="132" ht="20.149999999999999" customHeight="1" x14ac:dyDescent="0.25"/>
    <row r="133" ht="20.149999999999999" customHeight="1" x14ac:dyDescent="0.25"/>
    <row r="134" ht="20.149999999999999" customHeight="1" x14ac:dyDescent="0.25"/>
    <row r="135" ht="20.149999999999999" customHeight="1" x14ac:dyDescent="0.25"/>
    <row r="136" ht="20.149999999999999" customHeight="1" x14ac:dyDescent="0.25"/>
    <row r="137" ht="20.149999999999999" customHeight="1" x14ac:dyDescent="0.25"/>
    <row r="138" ht="20.149999999999999" customHeight="1" x14ac:dyDescent="0.25"/>
    <row r="139" ht="20.149999999999999" customHeight="1" x14ac:dyDescent="0.25"/>
    <row r="140" ht="20.149999999999999" customHeight="1" x14ac:dyDescent="0.25"/>
    <row r="141" ht="20.149999999999999" customHeight="1" x14ac:dyDescent="0.25"/>
    <row r="142" ht="20.149999999999999" customHeight="1" x14ac:dyDescent="0.25"/>
    <row r="143" ht="20.149999999999999" customHeight="1" x14ac:dyDescent="0.25"/>
    <row r="144" ht="20.149999999999999" customHeight="1" x14ac:dyDescent="0.25"/>
    <row r="145" ht="20.149999999999999" customHeight="1" x14ac:dyDescent="0.25"/>
    <row r="146" ht="20.149999999999999" customHeight="1" x14ac:dyDescent="0.25"/>
    <row r="147" ht="20.149999999999999" customHeight="1" x14ac:dyDescent="0.25"/>
    <row r="148" ht="20.149999999999999" customHeight="1" x14ac:dyDescent="0.25"/>
    <row r="149" ht="20.149999999999999" customHeight="1" x14ac:dyDescent="0.25"/>
    <row r="150" ht="20.149999999999999" customHeight="1" x14ac:dyDescent="0.25"/>
    <row r="151" ht="20.149999999999999" customHeight="1" x14ac:dyDescent="0.25"/>
    <row r="152" ht="20.149999999999999" customHeight="1" x14ac:dyDescent="0.25"/>
    <row r="153" ht="20.149999999999999" customHeight="1" x14ac:dyDescent="0.25"/>
    <row r="154" ht="20.149999999999999" customHeight="1" x14ac:dyDescent="0.25"/>
    <row r="155" ht="20.149999999999999" customHeight="1" x14ac:dyDescent="0.25"/>
    <row r="156" ht="20.149999999999999" customHeight="1" x14ac:dyDescent="0.25"/>
    <row r="157" ht="20.149999999999999" customHeight="1" x14ac:dyDescent="0.25"/>
    <row r="158" ht="20.149999999999999" customHeight="1" x14ac:dyDescent="0.25"/>
    <row r="159" ht="20.149999999999999" customHeight="1" x14ac:dyDescent="0.25"/>
    <row r="160" ht="20.149999999999999" customHeight="1" x14ac:dyDescent="0.25"/>
    <row r="161" ht="20.149999999999999" customHeight="1" x14ac:dyDescent="0.25"/>
    <row r="162" ht="20.149999999999999" customHeight="1" x14ac:dyDescent="0.25"/>
    <row r="163" ht="20.149999999999999" customHeight="1" x14ac:dyDescent="0.25"/>
    <row r="164" ht="20.149999999999999" customHeight="1" x14ac:dyDescent="0.25"/>
    <row r="165" ht="20.149999999999999" customHeight="1" x14ac:dyDescent="0.25"/>
    <row r="166" ht="20.149999999999999" customHeight="1" x14ac:dyDescent="0.25"/>
    <row r="167" ht="20.149999999999999" customHeight="1" x14ac:dyDescent="0.25"/>
    <row r="168" ht="20.149999999999999" customHeight="1" x14ac:dyDescent="0.25"/>
    <row r="169" ht="20.149999999999999" customHeight="1" x14ac:dyDescent="0.25"/>
    <row r="170" ht="20.149999999999999" customHeight="1" x14ac:dyDescent="0.25"/>
    <row r="171" ht="20.149999999999999" customHeight="1" x14ac:dyDescent="0.25"/>
    <row r="172" ht="20.149999999999999" customHeight="1" x14ac:dyDescent="0.25"/>
    <row r="173" ht="20.149999999999999" customHeight="1" x14ac:dyDescent="0.25"/>
    <row r="174" ht="20.149999999999999" customHeight="1" x14ac:dyDescent="0.25"/>
    <row r="175" ht="20.149999999999999" customHeight="1" x14ac:dyDescent="0.25"/>
    <row r="176" ht="20.149999999999999" customHeight="1" x14ac:dyDescent="0.25"/>
    <row r="177" ht="20.149999999999999" customHeight="1" x14ac:dyDescent="0.25"/>
    <row r="178" ht="20.149999999999999" customHeight="1" x14ac:dyDescent="0.25"/>
    <row r="179" ht="20.149999999999999" customHeight="1" x14ac:dyDescent="0.25"/>
    <row r="180" ht="20.149999999999999" customHeight="1" x14ac:dyDescent="0.25"/>
    <row r="181" ht="20.149999999999999" customHeight="1" x14ac:dyDescent="0.25"/>
    <row r="182" ht="20.149999999999999" customHeight="1" x14ac:dyDescent="0.25"/>
    <row r="183" ht="20.149999999999999" customHeight="1" x14ac:dyDescent="0.25"/>
    <row r="184" ht="20.149999999999999" customHeight="1" x14ac:dyDescent="0.25"/>
    <row r="185" ht="20.149999999999999" customHeight="1" x14ac:dyDescent="0.25"/>
    <row r="186" ht="20.149999999999999" customHeight="1" x14ac:dyDescent="0.25"/>
    <row r="187" ht="20.149999999999999" customHeight="1" x14ac:dyDescent="0.25"/>
    <row r="188" ht="20.149999999999999" customHeight="1" x14ac:dyDescent="0.25"/>
    <row r="189" ht="20.149999999999999" customHeight="1" x14ac:dyDescent="0.25"/>
    <row r="190" ht="20.149999999999999" customHeight="1" x14ac:dyDescent="0.25"/>
    <row r="191" ht="20.149999999999999" customHeight="1" x14ac:dyDescent="0.25"/>
    <row r="192" ht="20.149999999999999" customHeight="1" x14ac:dyDescent="0.25"/>
    <row r="193" ht="20.149999999999999" customHeight="1" x14ac:dyDescent="0.25"/>
    <row r="194" ht="20.149999999999999" customHeight="1" x14ac:dyDescent="0.25"/>
    <row r="195" ht="20.149999999999999" customHeight="1" x14ac:dyDescent="0.25"/>
    <row r="196" ht="20.149999999999999" customHeight="1" x14ac:dyDescent="0.25"/>
    <row r="197" ht="20.149999999999999" customHeight="1" x14ac:dyDescent="0.25"/>
    <row r="198" ht="20.149999999999999" customHeight="1" x14ac:dyDescent="0.25"/>
    <row r="199" ht="20.149999999999999" customHeight="1" x14ac:dyDescent="0.25"/>
    <row r="200" ht="20.149999999999999" customHeight="1" x14ac:dyDescent="0.25"/>
    <row r="201" ht="20.149999999999999" customHeight="1" x14ac:dyDescent="0.25"/>
    <row r="202" ht="20.149999999999999" customHeight="1" x14ac:dyDescent="0.25"/>
    <row r="203" ht="20.149999999999999" customHeight="1" x14ac:dyDescent="0.25"/>
    <row r="204" ht="20.149999999999999" customHeight="1" x14ac:dyDescent="0.25"/>
    <row r="205" ht="20.149999999999999" customHeight="1" x14ac:dyDescent="0.25"/>
    <row r="206" ht="20.149999999999999" customHeight="1" x14ac:dyDescent="0.25"/>
    <row r="207" ht="20.149999999999999" customHeight="1" x14ac:dyDescent="0.25"/>
    <row r="208" ht="20.149999999999999" customHeight="1" x14ac:dyDescent="0.25"/>
    <row r="209" ht="20.149999999999999" customHeight="1" x14ac:dyDescent="0.25"/>
    <row r="210" ht="20.149999999999999" customHeight="1" x14ac:dyDescent="0.25"/>
    <row r="211" ht="20.149999999999999" customHeight="1" x14ac:dyDescent="0.25"/>
    <row r="212" ht="20.149999999999999" customHeight="1" x14ac:dyDescent="0.25"/>
    <row r="213" ht="20.149999999999999" customHeight="1" x14ac:dyDescent="0.25"/>
    <row r="214" ht="20.149999999999999" customHeight="1" x14ac:dyDescent="0.25"/>
    <row r="215" ht="20.149999999999999" customHeight="1" x14ac:dyDescent="0.25"/>
    <row r="216" ht="20.149999999999999" customHeight="1" x14ac:dyDescent="0.25"/>
    <row r="217" ht="20.149999999999999" customHeight="1" x14ac:dyDescent="0.25"/>
    <row r="218" ht="20.149999999999999" customHeight="1" x14ac:dyDescent="0.25"/>
    <row r="219" ht="20.149999999999999" customHeight="1" x14ac:dyDescent="0.25"/>
    <row r="220" ht="20.149999999999999" customHeight="1" x14ac:dyDescent="0.25"/>
    <row r="221" ht="20.149999999999999" customHeight="1" x14ac:dyDescent="0.25"/>
    <row r="222" ht="20.149999999999999" customHeight="1" x14ac:dyDescent="0.25"/>
    <row r="223" ht="20.149999999999999" customHeight="1" x14ac:dyDescent="0.25"/>
    <row r="224" ht="20.149999999999999" customHeight="1" x14ac:dyDescent="0.25"/>
    <row r="225" ht="20.149999999999999" customHeight="1" x14ac:dyDescent="0.25"/>
    <row r="226" ht="20.149999999999999" customHeight="1" x14ac:dyDescent="0.25"/>
    <row r="227" ht="20.149999999999999" customHeight="1" x14ac:dyDescent="0.25"/>
    <row r="228" ht="20.149999999999999" customHeight="1" x14ac:dyDescent="0.25"/>
    <row r="229" ht="20.149999999999999" customHeight="1" x14ac:dyDescent="0.25"/>
    <row r="230" ht="20.149999999999999" customHeight="1" x14ac:dyDescent="0.25"/>
    <row r="231" ht="20.149999999999999" customHeight="1" x14ac:dyDescent="0.25"/>
    <row r="232" ht="20.149999999999999" customHeight="1" x14ac:dyDescent="0.25"/>
    <row r="233" ht="20.149999999999999" customHeight="1" x14ac:dyDescent="0.25"/>
    <row r="234" ht="20.149999999999999" customHeight="1" x14ac:dyDescent="0.25"/>
    <row r="235" ht="20.149999999999999" customHeight="1" x14ac:dyDescent="0.25"/>
    <row r="236" ht="20.149999999999999" customHeight="1" x14ac:dyDescent="0.25"/>
    <row r="237" ht="20.149999999999999" customHeight="1" x14ac:dyDescent="0.25"/>
    <row r="238" ht="20.149999999999999" customHeight="1" x14ac:dyDescent="0.25"/>
    <row r="239" ht="20.149999999999999" customHeight="1" x14ac:dyDescent="0.25"/>
    <row r="240" ht="20.149999999999999" customHeight="1" x14ac:dyDescent="0.25"/>
    <row r="241" ht="20.149999999999999" customHeight="1" x14ac:dyDescent="0.25"/>
    <row r="242" ht="20.149999999999999" customHeight="1" x14ac:dyDescent="0.25"/>
    <row r="243" ht="20.149999999999999" customHeight="1" x14ac:dyDescent="0.25"/>
    <row r="244" ht="20.149999999999999" customHeight="1" x14ac:dyDescent="0.25"/>
    <row r="245" ht="20.149999999999999" customHeight="1" x14ac:dyDescent="0.25"/>
    <row r="246" ht="20.149999999999999" customHeight="1" x14ac:dyDescent="0.25"/>
    <row r="247" ht="20.149999999999999" customHeight="1" x14ac:dyDescent="0.25"/>
    <row r="248" ht="20.149999999999999" customHeight="1" x14ac:dyDescent="0.25"/>
    <row r="249" ht="20.149999999999999" customHeight="1" x14ac:dyDescent="0.25"/>
    <row r="250" ht="20.149999999999999" customHeight="1" x14ac:dyDescent="0.25"/>
    <row r="251" ht="20.149999999999999" customHeight="1" x14ac:dyDescent="0.25"/>
    <row r="252" ht="20.149999999999999" customHeight="1" x14ac:dyDescent="0.25"/>
    <row r="253" ht="20.149999999999999" customHeight="1" x14ac:dyDescent="0.25"/>
    <row r="254" ht="20.149999999999999" customHeight="1" x14ac:dyDescent="0.25"/>
    <row r="255" ht="20.149999999999999" customHeight="1" x14ac:dyDescent="0.25"/>
    <row r="256" ht="20.149999999999999" customHeight="1" x14ac:dyDescent="0.25"/>
    <row r="257" ht="20.149999999999999" customHeight="1" x14ac:dyDescent="0.25"/>
    <row r="258" ht="20.149999999999999" customHeight="1" x14ac:dyDescent="0.25"/>
    <row r="259" ht="20.149999999999999" customHeight="1" x14ac:dyDescent="0.25"/>
    <row r="260" ht="20.149999999999999" customHeight="1" x14ac:dyDescent="0.25"/>
    <row r="261" ht="20.149999999999999" customHeight="1" x14ac:dyDescent="0.25"/>
    <row r="262" ht="20.149999999999999" customHeight="1" x14ac:dyDescent="0.25"/>
    <row r="263" ht="20.149999999999999" customHeight="1" x14ac:dyDescent="0.25"/>
    <row r="264" ht="20.149999999999999" customHeight="1" x14ac:dyDescent="0.25"/>
    <row r="265" ht="20.149999999999999" customHeight="1" x14ac:dyDescent="0.25"/>
    <row r="266" ht="20.149999999999999" customHeight="1" x14ac:dyDescent="0.25"/>
    <row r="267" ht="20.149999999999999" customHeight="1" x14ac:dyDescent="0.25"/>
    <row r="268" ht="20.149999999999999" customHeight="1" x14ac:dyDescent="0.25"/>
    <row r="269" ht="20.149999999999999" customHeight="1" x14ac:dyDescent="0.25"/>
    <row r="270" ht="20.149999999999999" customHeight="1" x14ac:dyDescent="0.25"/>
    <row r="271" ht="20.149999999999999" customHeight="1" x14ac:dyDescent="0.25"/>
    <row r="272" ht="20.149999999999999" customHeight="1" x14ac:dyDescent="0.25"/>
    <row r="273" ht="20.149999999999999" customHeight="1" x14ac:dyDescent="0.25"/>
    <row r="274" ht="20.149999999999999" customHeight="1" x14ac:dyDescent="0.25"/>
    <row r="275" ht="20.149999999999999" customHeight="1" x14ac:dyDescent="0.25"/>
    <row r="276" ht="20.149999999999999" customHeight="1" x14ac:dyDescent="0.25"/>
    <row r="277" ht="20.149999999999999" customHeight="1" x14ac:dyDescent="0.25"/>
    <row r="278" ht="20.149999999999999" customHeight="1" x14ac:dyDescent="0.25"/>
    <row r="279" ht="20.149999999999999" customHeight="1" x14ac:dyDescent="0.25"/>
    <row r="280" ht="20.149999999999999" customHeight="1" x14ac:dyDescent="0.25"/>
    <row r="281" ht="20.149999999999999" customHeight="1" x14ac:dyDescent="0.25"/>
    <row r="282" ht="20.149999999999999" customHeight="1" x14ac:dyDescent="0.25"/>
    <row r="283" ht="20.149999999999999" customHeight="1" x14ac:dyDescent="0.25"/>
    <row r="284" ht="20.149999999999999" customHeight="1" x14ac:dyDescent="0.25"/>
    <row r="285" ht="20.149999999999999" customHeight="1" x14ac:dyDescent="0.25"/>
    <row r="286" ht="20.149999999999999" customHeight="1" x14ac:dyDescent="0.25"/>
    <row r="287" ht="20.149999999999999" customHeight="1" x14ac:dyDescent="0.25"/>
    <row r="288" ht="20.149999999999999" customHeight="1" x14ac:dyDescent="0.25"/>
    <row r="289" ht="20.149999999999999" customHeight="1" x14ac:dyDescent="0.25"/>
    <row r="290" ht="20.149999999999999" customHeight="1" x14ac:dyDescent="0.25"/>
    <row r="291" ht="20.149999999999999" customHeight="1" x14ac:dyDescent="0.25"/>
    <row r="292" ht="20.149999999999999" customHeight="1" x14ac:dyDescent="0.25"/>
    <row r="293" ht="20.149999999999999" customHeight="1" x14ac:dyDescent="0.25"/>
    <row r="294" ht="20.149999999999999" customHeight="1" x14ac:dyDescent="0.25"/>
    <row r="295" ht="20.149999999999999" customHeight="1" x14ac:dyDescent="0.25"/>
    <row r="296" ht="20.149999999999999" customHeight="1" x14ac:dyDescent="0.25"/>
    <row r="297" ht="20.149999999999999" customHeight="1" x14ac:dyDescent="0.25"/>
    <row r="298" ht="20.149999999999999" customHeight="1" x14ac:dyDescent="0.25"/>
    <row r="299" ht="20.149999999999999" customHeight="1" x14ac:dyDescent="0.25"/>
    <row r="300" ht="20.149999999999999" customHeight="1" x14ac:dyDescent="0.25"/>
    <row r="301" ht="20.149999999999999" customHeight="1" x14ac:dyDescent="0.25"/>
    <row r="302" ht="20.149999999999999" customHeight="1" x14ac:dyDescent="0.25"/>
    <row r="303" ht="20.149999999999999" customHeight="1" x14ac:dyDescent="0.25"/>
    <row r="304" ht="20.149999999999999" customHeight="1" x14ac:dyDescent="0.25"/>
    <row r="305" ht="20.149999999999999" customHeight="1" x14ac:dyDescent="0.25"/>
    <row r="306" ht="20.149999999999999" customHeight="1" x14ac:dyDescent="0.25"/>
    <row r="307" ht="20.149999999999999" customHeight="1" x14ac:dyDescent="0.25"/>
    <row r="308" ht="20.149999999999999" customHeight="1" x14ac:dyDescent="0.25"/>
    <row r="309" ht="20.149999999999999" customHeight="1" x14ac:dyDescent="0.25"/>
    <row r="310" ht="20.149999999999999" customHeight="1" x14ac:dyDescent="0.25"/>
    <row r="311" ht="20.149999999999999" customHeight="1" x14ac:dyDescent="0.25"/>
    <row r="312" ht="20.149999999999999" customHeight="1" x14ac:dyDescent="0.25"/>
    <row r="313" ht="20.149999999999999" customHeight="1" x14ac:dyDescent="0.25"/>
    <row r="314" ht="20.149999999999999" customHeight="1" x14ac:dyDescent="0.25"/>
    <row r="315" ht="20.149999999999999" customHeight="1" x14ac:dyDescent="0.25"/>
    <row r="316" ht="20.149999999999999" customHeight="1" x14ac:dyDescent="0.25"/>
    <row r="317" ht="20.149999999999999" customHeight="1" x14ac:dyDescent="0.25"/>
    <row r="318" ht="20.149999999999999" customHeight="1" x14ac:dyDescent="0.25"/>
    <row r="319" ht="20.149999999999999" customHeight="1" x14ac:dyDescent="0.25"/>
    <row r="320" ht="20.149999999999999" customHeight="1" x14ac:dyDescent="0.25"/>
    <row r="321" ht="20.149999999999999" customHeight="1" x14ac:dyDescent="0.25"/>
    <row r="322" ht="20.149999999999999" customHeight="1" x14ac:dyDescent="0.25"/>
    <row r="323" ht="20.149999999999999" customHeight="1" x14ac:dyDescent="0.25"/>
    <row r="324" ht="20.149999999999999" customHeight="1" x14ac:dyDescent="0.25"/>
    <row r="325" ht="20.149999999999999" customHeight="1" x14ac:dyDescent="0.25"/>
    <row r="326" ht="20.149999999999999" customHeight="1" x14ac:dyDescent="0.25"/>
    <row r="327" ht="20.149999999999999" customHeight="1" x14ac:dyDescent="0.25"/>
    <row r="328" ht="20.149999999999999" customHeight="1" x14ac:dyDescent="0.25"/>
    <row r="329" ht="20.149999999999999" customHeight="1" x14ac:dyDescent="0.25"/>
    <row r="330" ht="20.149999999999999" customHeight="1" x14ac:dyDescent="0.25"/>
    <row r="331" ht="20.149999999999999" customHeight="1" x14ac:dyDescent="0.25"/>
    <row r="332" ht="20.149999999999999" customHeight="1" x14ac:dyDescent="0.25"/>
    <row r="333" ht="20.149999999999999" customHeight="1" x14ac:dyDescent="0.25"/>
    <row r="334" ht="20.149999999999999" customHeight="1" x14ac:dyDescent="0.25"/>
    <row r="335" ht="20.149999999999999" customHeight="1" x14ac:dyDescent="0.25"/>
    <row r="336" ht="20.149999999999999" customHeight="1" x14ac:dyDescent="0.25"/>
    <row r="337" ht="20.149999999999999" customHeight="1" x14ac:dyDescent="0.25"/>
    <row r="338" ht="20.149999999999999" customHeight="1" x14ac:dyDescent="0.25"/>
    <row r="339" ht="20.149999999999999" customHeight="1" x14ac:dyDescent="0.25"/>
    <row r="340" ht="20.149999999999999" customHeight="1" x14ac:dyDescent="0.25"/>
    <row r="341" ht="20.149999999999999" customHeight="1" x14ac:dyDescent="0.25"/>
    <row r="342" ht="20.149999999999999" customHeight="1" x14ac:dyDescent="0.25"/>
    <row r="343" ht="20.149999999999999" customHeight="1" x14ac:dyDescent="0.25"/>
    <row r="344" ht="20.149999999999999" customHeight="1" x14ac:dyDescent="0.25"/>
    <row r="345" ht="20.149999999999999" customHeight="1" x14ac:dyDescent="0.25"/>
    <row r="346" ht="20.149999999999999" customHeight="1" x14ac:dyDescent="0.25"/>
    <row r="347" ht="20.149999999999999" customHeight="1" x14ac:dyDescent="0.25"/>
    <row r="348" ht="20.149999999999999" customHeight="1" x14ac:dyDescent="0.25"/>
    <row r="349" ht="20.149999999999999" customHeight="1" x14ac:dyDescent="0.25"/>
    <row r="350" ht="20.149999999999999" customHeight="1" x14ac:dyDescent="0.25"/>
    <row r="351" ht="20.149999999999999" customHeight="1" x14ac:dyDescent="0.25"/>
    <row r="352" ht="20.149999999999999" customHeight="1" x14ac:dyDescent="0.25"/>
    <row r="353" ht="20.149999999999999" customHeight="1" x14ac:dyDescent="0.25"/>
    <row r="354" ht="20.149999999999999" customHeight="1" x14ac:dyDescent="0.25"/>
    <row r="355" ht="20.149999999999999" customHeight="1" x14ac:dyDescent="0.25"/>
    <row r="356" ht="20.149999999999999" customHeight="1" x14ac:dyDescent="0.25"/>
    <row r="357" ht="20.149999999999999" customHeight="1" x14ac:dyDescent="0.25"/>
    <row r="358" ht="20.149999999999999" customHeight="1" x14ac:dyDescent="0.25"/>
    <row r="359" ht="20.149999999999999" customHeight="1" x14ac:dyDescent="0.25"/>
    <row r="360" ht="20.149999999999999" customHeight="1" x14ac:dyDescent="0.25"/>
    <row r="361" ht="20.149999999999999" customHeight="1" x14ac:dyDescent="0.25"/>
    <row r="362" ht="20.149999999999999" customHeight="1" x14ac:dyDescent="0.25"/>
    <row r="363" ht="20.149999999999999" customHeight="1" x14ac:dyDescent="0.25"/>
    <row r="364" ht="20.149999999999999" customHeight="1" x14ac:dyDescent="0.25"/>
    <row r="365" ht="20.149999999999999" customHeight="1" x14ac:dyDescent="0.25"/>
    <row r="366" ht="20.149999999999999" customHeight="1" x14ac:dyDescent="0.25"/>
    <row r="367" ht="20.149999999999999" customHeight="1" x14ac:dyDescent="0.25"/>
    <row r="368" ht="20.149999999999999" customHeight="1" x14ac:dyDescent="0.25"/>
    <row r="369" ht="20.149999999999999" customHeight="1" x14ac:dyDescent="0.25"/>
    <row r="370" ht="20.149999999999999" customHeight="1" x14ac:dyDescent="0.25"/>
    <row r="371" ht="20.149999999999999" customHeight="1" x14ac:dyDescent="0.25"/>
    <row r="372" ht="20.149999999999999" customHeight="1" x14ac:dyDescent="0.25"/>
    <row r="373" ht="20.149999999999999" customHeight="1" x14ac:dyDescent="0.25"/>
    <row r="374" ht="20.149999999999999" customHeight="1" x14ac:dyDescent="0.25"/>
    <row r="375" ht="20.149999999999999" customHeight="1" x14ac:dyDescent="0.25"/>
    <row r="376" ht="20.149999999999999" customHeight="1" x14ac:dyDescent="0.25"/>
    <row r="377" ht="20.149999999999999" customHeight="1" x14ac:dyDescent="0.25"/>
    <row r="378" ht="20.149999999999999" customHeight="1" x14ac:dyDescent="0.25"/>
    <row r="379" ht="20.149999999999999" customHeight="1" x14ac:dyDescent="0.25"/>
    <row r="380" ht="20.149999999999999" customHeight="1" x14ac:dyDescent="0.25"/>
    <row r="381" ht="20.149999999999999" customHeight="1" x14ac:dyDescent="0.25"/>
    <row r="382" ht="20.149999999999999" customHeight="1" x14ac:dyDescent="0.25"/>
    <row r="383" ht="20.149999999999999" customHeight="1" x14ac:dyDescent="0.25"/>
    <row r="384" ht="20.149999999999999" customHeight="1" x14ac:dyDescent="0.25"/>
    <row r="385" ht="20.149999999999999" customHeight="1" x14ac:dyDescent="0.25"/>
    <row r="386" ht="20.149999999999999" customHeight="1" x14ac:dyDescent="0.25"/>
    <row r="387" ht="20.149999999999999" customHeight="1" x14ac:dyDescent="0.25"/>
    <row r="388" ht="20.149999999999999" customHeight="1" x14ac:dyDescent="0.25"/>
    <row r="389" ht="20.149999999999999" customHeight="1" x14ac:dyDescent="0.25"/>
    <row r="390" ht="20.149999999999999" customHeight="1" x14ac:dyDescent="0.25"/>
    <row r="391" ht="20.149999999999999" customHeight="1" x14ac:dyDescent="0.25"/>
    <row r="392" ht="20.149999999999999" customHeight="1" x14ac:dyDescent="0.25"/>
    <row r="393" ht="20.149999999999999" customHeight="1" x14ac:dyDescent="0.25"/>
    <row r="394" ht="20.149999999999999" customHeight="1" x14ac:dyDescent="0.25"/>
    <row r="395" ht="20.149999999999999" customHeight="1" x14ac:dyDescent="0.25"/>
    <row r="396" ht="20.149999999999999" customHeight="1" x14ac:dyDescent="0.25"/>
    <row r="397" ht="20.149999999999999" customHeight="1" x14ac:dyDescent="0.25"/>
    <row r="398" ht="20.149999999999999" customHeight="1" x14ac:dyDescent="0.25"/>
    <row r="399" ht="20.149999999999999" customHeight="1" x14ac:dyDescent="0.25"/>
    <row r="400" ht="20.149999999999999" customHeight="1" x14ac:dyDescent="0.25"/>
    <row r="401" ht="20.149999999999999" customHeight="1" x14ac:dyDescent="0.25"/>
    <row r="402" ht="20.149999999999999" customHeight="1" x14ac:dyDescent="0.25"/>
    <row r="403" ht="20.149999999999999" customHeight="1" x14ac:dyDescent="0.25"/>
    <row r="404" ht="20.149999999999999" customHeight="1" x14ac:dyDescent="0.25"/>
    <row r="405" ht="20.149999999999999" customHeight="1" x14ac:dyDescent="0.25"/>
    <row r="406" ht="20.149999999999999" customHeight="1" x14ac:dyDescent="0.25"/>
    <row r="407" ht="20.149999999999999" customHeight="1" x14ac:dyDescent="0.25"/>
    <row r="408" ht="20.149999999999999" customHeight="1" x14ac:dyDescent="0.25"/>
    <row r="409" ht="20.149999999999999" customHeight="1" x14ac:dyDescent="0.25"/>
    <row r="410" ht="20.149999999999999" customHeight="1" x14ac:dyDescent="0.25"/>
    <row r="411" ht="20.149999999999999" customHeight="1" x14ac:dyDescent="0.25"/>
    <row r="412" ht="20.149999999999999" customHeight="1" x14ac:dyDescent="0.25"/>
    <row r="413" ht="20.149999999999999" customHeight="1" x14ac:dyDescent="0.25"/>
    <row r="414" ht="20.149999999999999" customHeight="1" x14ac:dyDescent="0.25"/>
    <row r="415" ht="20.149999999999999" customHeight="1" x14ac:dyDescent="0.25"/>
    <row r="416" ht="20.149999999999999" customHeight="1" x14ac:dyDescent="0.25"/>
    <row r="417" ht="20.149999999999999" customHeight="1" x14ac:dyDescent="0.25"/>
    <row r="418" ht="20.149999999999999" customHeight="1" x14ac:dyDescent="0.25"/>
    <row r="419" ht="20.149999999999999" customHeight="1" x14ac:dyDescent="0.25"/>
    <row r="420" ht="20.149999999999999" customHeight="1" x14ac:dyDescent="0.25"/>
    <row r="421" ht="20.149999999999999" customHeight="1" x14ac:dyDescent="0.25"/>
    <row r="422" ht="20.149999999999999" customHeight="1" x14ac:dyDescent="0.25"/>
    <row r="423" ht="20.149999999999999" customHeight="1" x14ac:dyDescent="0.25"/>
    <row r="424" ht="20.149999999999999" customHeight="1" x14ac:dyDescent="0.25"/>
    <row r="425" ht="20.149999999999999" customHeight="1" x14ac:dyDescent="0.25"/>
    <row r="426" ht="20.149999999999999" customHeight="1" x14ac:dyDescent="0.25"/>
    <row r="427" ht="20.149999999999999" customHeight="1" x14ac:dyDescent="0.25"/>
    <row r="428" ht="20.149999999999999" customHeight="1" x14ac:dyDescent="0.25"/>
    <row r="429" ht="20.149999999999999" customHeight="1" x14ac:dyDescent="0.25"/>
    <row r="430" ht="20.149999999999999" customHeight="1" x14ac:dyDescent="0.25"/>
    <row r="431" ht="20.149999999999999" customHeight="1" x14ac:dyDescent="0.25"/>
    <row r="432" ht="20.149999999999999" customHeight="1" x14ac:dyDescent="0.25"/>
    <row r="433" ht="20.149999999999999" customHeight="1" x14ac:dyDescent="0.25"/>
    <row r="434" ht="20.149999999999999" customHeight="1" x14ac:dyDescent="0.25"/>
    <row r="435" ht="20.149999999999999" customHeight="1" x14ac:dyDescent="0.25"/>
    <row r="436" ht="20.149999999999999" customHeight="1" x14ac:dyDescent="0.25"/>
    <row r="437" ht="20.149999999999999" customHeight="1" x14ac:dyDescent="0.25"/>
    <row r="438" ht="20.149999999999999" customHeight="1" x14ac:dyDescent="0.25"/>
    <row r="439" ht="20.149999999999999" customHeight="1" x14ac:dyDescent="0.25"/>
    <row r="440" ht="20.149999999999999" customHeight="1" x14ac:dyDescent="0.25"/>
    <row r="441" ht="20.149999999999999" customHeight="1" x14ac:dyDescent="0.25"/>
    <row r="442" ht="20.149999999999999" customHeight="1" x14ac:dyDescent="0.25"/>
    <row r="443" ht="20.149999999999999" customHeight="1" x14ac:dyDescent="0.25"/>
    <row r="444" ht="20.149999999999999" customHeight="1" x14ac:dyDescent="0.25"/>
    <row r="445" ht="20.149999999999999" customHeight="1" x14ac:dyDescent="0.25"/>
    <row r="446" ht="20.149999999999999" customHeight="1" x14ac:dyDescent="0.25"/>
    <row r="447" ht="20.149999999999999" customHeight="1" x14ac:dyDescent="0.25"/>
    <row r="448" ht="20.149999999999999" customHeight="1" x14ac:dyDescent="0.25"/>
    <row r="449" ht="20.149999999999999" customHeight="1" x14ac:dyDescent="0.25"/>
    <row r="450" ht="20.149999999999999" customHeight="1" x14ac:dyDescent="0.25"/>
    <row r="451" ht="20.149999999999999" customHeight="1" x14ac:dyDescent="0.25"/>
    <row r="452" ht="20.149999999999999" customHeight="1" x14ac:dyDescent="0.25"/>
    <row r="453" ht="20.149999999999999" customHeight="1" x14ac:dyDescent="0.25"/>
    <row r="454" ht="20.149999999999999" customHeight="1" x14ac:dyDescent="0.25"/>
    <row r="455" ht="20.149999999999999" customHeight="1" x14ac:dyDescent="0.25"/>
    <row r="456" ht="20.149999999999999" customHeight="1" x14ac:dyDescent="0.25"/>
    <row r="457" ht="20.149999999999999" customHeight="1" x14ac:dyDescent="0.25"/>
    <row r="458" ht="20.149999999999999" customHeight="1" x14ac:dyDescent="0.25"/>
    <row r="459" ht="20.149999999999999" customHeight="1" x14ac:dyDescent="0.25"/>
    <row r="460" ht="20.149999999999999" customHeight="1" x14ac:dyDescent="0.25"/>
    <row r="461" ht="20.149999999999999" customHeight="1" x14ac:dyDescent="0.25"/>
    <row r="462" ht="20.149999999999999" customHeight="1" x14ac:dyDescent="0.25"/>
    <row r="463" ht="20.149999999999999" customHeight="1" x14ac:dyDescent="0.25"/>
    <row r="464" ht="20.149999999999999" customHeight="1" x14ac:dyDescent="0.25"/>
    <row r="465" ht="20.149999999999999" customHeight="1" x14ac:dyDescent="0.25"/>
    <row r="466" ht="20.149999999999999" customHeight="1" x14ac:dyDescent="0.25"/>
    <row r="467" ht="20.149999999999999" customHeight="1" x14ac:dyDescent="0.25"/>
    <row r="468" ht="20.149999999999999" customHeight="1" x14ac:dyDescent="0.25"/>
    <row r="469" ht="20.149999999999999" customHeight="1" x14ac:dyDescent="0.25"/>
    <row r="470" ht="20.149999999999999" customHeight="1" x14ac:dyDescent="0.25"/>
    <row r="471" ht="20.149999999999999" customHeight="1" x14ac:dyDescent="0.25"/>
    <row r="472" ht="20.149999999999999" customHeight="1" x14ac:dyDescent="0.25"/>
    <row r="473" ht="20.149999999999999" customHeight="1" x14ac:dyDescent="0.25"/>
    <row r="474" ht="20.149999999999999" customHeight="1" x14ac:dyDescent="0.25"/>
    <row r="475" ht="20.149999999999999" customHeight="1" x14ac:dyDescent="0.25"/>
    <row r="476" ht="20.149999999999999" customHeight="1" x14ac:dyDescent="0.25"/>
    <row r="477" ht="20.149999999999999" customHeight="1" x14ac:dyDescent="0.25"/>
    <row r="478" ht="20.149999999999999" customHeight="1" x14ac:dyDescent="0.25"/>
    <row r="479" ht="20.149999999999999" customHeight="1" x14ac:dyDescent="0.25"/>
    <row r="480" ht="20.149999999999999" customHeight="1" x14ac:dyDescent="0.25"/>
    <row r="481" ht="20.149999999999999" customHeight="1" x14ac:dyDescent="0.25"/>
    <row r="482" ht="20.149999999999999" customHeight="1" x14ac:dyDescent="0.25"/>
    <row r="483" ht="20.149999999999999" customHeight="1" x14ac:dyDescent="0.25"/>
    <row r="484" ht="20.149999999999999" customHeight="1" x14ac:dyDescent="0.25"/>
    <row r="485" ht="20.149999999999999" customHeight="1" x14ac:dyDescent="0.25"/>
    <row r="486" ht="20.149999999999999" customHeight="1" x14ac:dyDescent="0.25"/>
    <row r="487" ht="20.149999999999999" customHeight="1" x14ac:dyDescent="0.25"/>
    <row r="488" ht="20.149999999999999" customHeight="1" x14ac:dyDescent="0.25"/>
    <row r="489" ht="20.149999999999999" customHeight="1" x14ac:dyDescent="0.25"/>
    <row r="490" ht="20.149999999999999" customHeight="1" x14ac:dyDescent="0.25"/>
    <row r="491" ht="20.149999999999999" customHeight="1" x14ac:dyDescent="0.25"/>
    <row r="492" ht="20.149999999999999" customHeight="1" x14ac:dyDescent="0.25"/>
    <row r="493" ht="20.149999999999999" customHeight="1" x14ac:dyDescent="0.25"/>
    <row r="494" ht="20.149999999999999" customHeight="1" x14ac:dyDescent="0.25"/>
    <row r="495" ht="20.149999999999999" customHeight="1" x14ac:dyDescent="0.25"/>
    <row r="496" ht="20.149999999999999" customHeight="1" x14ac:dyDescent="0.25"/>
    <row r="497" ht="20.149999999999999" customHeight="1" x14ac:dyDescent="0.25"/>
    <row r="498" ht="20.149999999999999" customHeight="1" x14ac:dyDescent="0.25"/>
    <row r="499" ht="20.149999999999999" customHeight="1" x14ac:dyDescent="0.25"/>
    <row r="500" ht="20.149999999999999" customHeight="1" x14ac:dyDescent="0.25"/>
    <row r="501" ht="20.149999999999999" customHeight="1" x14ac:dyDescent="0.25"/>
    <row r="502" ht="20.149999999999999" customHeight="1" x14ac:dyDescent="0.25"/>
    <row r="503" ht="20.149999999999999" customHeight="1" x14ac:dyDescent="0.25"/>
    <row r="504" ht="20.149999999999999" customHeight="1" x14ac:dyDescent="0.25"/>
    <row r="505" ht="20.149999999999999" customHeight="1" x14ac:dyDescent="0.25"/>
    <row r="506" ht="20.149999999999999" customHeight="1" x14ac:dyDescent="0.25"/>
    <row r="507" ht="20.149999999999999" customHeight="1" x14ac:dyDescent="0.25"/>
    <row r="508" ht="20.149999999999999" customHeight="1" x14ac:dyDescent="0.25"/>
    <row r="509" ht="20.149999999999999" customHeight="1" x14ac:dyDescent="0.25"/>
    <row r="510" ht="20.149999999999999" customHeight="1" x14ac:dyDescent="0.25"/>
    <row r="511" ht="20.149999999999999" customHeight="1" x14ac:dyDescent="0.25"/>
    <row r="512" ht="20.149999999999999" customHeight="1" x14ac:dyDescent="0.25"/>
    <row r="513" ht="20.149999999999999" customHeight="1" x14ac:dyDescent="0.25"/>
    <row r="514" ht="20.149999999999999" customHeight="1" x14ac:dyDescent="0.25"/>
    <row r="515" ht="20.149999999999999" customHeight="1" x14ac:dyDescent="0.25"/>
    <row r="516" ht="20.149999999999999" customHeight="1" x14ac:dyDescent="0.25"/>
    <row r="517" ht="20.149999999999999" customHeight="1" x14ac:dyDescent="0.25"/>
    <row r="518" ht="20.149999999999999" customHeight="1" x14ac:dyDescent="0.25"/>
    <row r="519" ht="20.149999999999999" customHeight="1" x14ac:dyDescent="0.25"/>
    <row r="520" ht="20.149999999999999" customHeight="1" x14ac:dyDescent="0.25"/>
    <row r="521" ht="20.149999999999999" customHeight="1" x14ac:dyDescent="0.25"/>
    <row r="522" ht="20.149999999999999" customHeight="1" x14ac:dyDescent="0.25"/>
    <row r="523" ht="20.149999999999999" customHeight="1" x14ac:dyDescent="0.25"/>
    <row r="524" ht="20.149999999999999" customHeight="1" x14ac:dyDescent="0.25"/>
    <row r="525" ht="20.149999999999999" customHeight="1" x14ac:dyDescent="0.25"/>
    <row r="526" ht="20.149999999999999" customHeight="1" x14ac:dyDescent="0.25"/>
    <row r="527" ht="20.149999999999999" customHeight="1" x14ac:dyDescent="0.25"/>
    <row r="528" ht="20.149999999999999" customHeight="1" x14ac:dyDescent="0.25"/>
    <row r="529" ht="20.149999999999999" customHeight="1" x14ac:dyDescent="0.25"/>
    <row r="530" ht="20.149999999999999" customHeight="1" x14ac:dyDescent="0.25"/>
    <row r="531" ht="20.149999999999999" customHeight="1" x14ac:dyDescent="0.25"/>
    <row r="532" ht="20.149999999999999" customHeight="1" x14ac:dyDescent="0.25"/>
    <row r="533" ht="20.149999999999999" customHeight="1" x14ac:dyDescent="0.25"/>
    <row r="534" ht="20.149999999999999" customHeight="1" x14ac:dyDescent="0.25"/>
    <row r="535" ht="20.149999999999999" customHeight="1" x14ac:dyDescent="0.25"/>
    <row r="536" ht="20.149999999999999" customHeight="1" x14ac:dyDescent="0.25"/>
    <row r="537" ht="20.149999999999999" customHeight="1" x14ac:dyDescent="0.25"/>
    <row r="538" ht="20.149999999999999" customHeight="1" x14ac:dyDescent="0.25"/>
    <row r="539" ht="20.149999999999999" customHeight="1" x14ac:dyDescent="0.25"/>
    <row r="540" ht="20.149999999999999" customHeight="1" x14ac:dyDescent="0.25"/>
    <row r="541" ht="20.149999999999999" customHeight="1" x14ac:dyDescent="0.25"/>
    <row r="542" ht="20.149999999999999" customHeight="1" x14ac:dyDescent="0.25"/>
    <row r="543" ht="20.149999999999999" customHeight="1" x14ac:dyDescent="0.25"/>
    <row r="544" ht="20.149999999999999" customHeight="1" x14ac:dyDescent="0.25"/>
    <row r="545" ht="20.149999999999999" customHeight="1" x14ac:dyDescent="0.25"/>
    <row r="546" ht="20.149999999999999" customHeight="1" x14ac:dyDescent="0.25"/>
    <row r="547" ht="20.149999999999999" customHeight="1" x14ac:dyDescent="0.25"/>
    <row r="548" ht="20.149999999999999" customHeight="1" x14ac:dyDescent="0.25"/>
    <row r="549" ht="20.149999999999999" customHeight="1" x14ac:dyDescent="0.25"/>
    <row r="550" ht="20.149999999999999" customHeight="1" x14ac:dyDescent="0.25"/>
    <row r="551" ht="20.149999999999999" customHeight="1" x14ac:dyDescent="0.25"/>
    <row r="552" ht="20.149999999999999" customHeight="1" x14ac:dyDescent="0.25"/>
    <row r="553" ht="20.149999999999999" customHeight="1" x14ac:dyDescent="0.25"/>
    <row r="554" ht="20.149999999999999" customHeight="1" x14ac:dyDescent="0.25"/>
    <row r="555" ht="20.149999999999999" customHeight="1" x14ac:dyDescent="0.25"/>
    <row r="556" ht="20.149999999999999" customHeight="1" x14ac:dyDescent="0.25"/>
    <row r="557" ht="20.149999999999999" customHeight="1" x14ac:dyDescent="0.25"/>
    <row r="558" ht="20.149999999999999" customHeight="1" x14ac:dyDescent="0.25"/>
    <row r="559" ht="20.149999999999999" customHeight="1" x14ac:dyDescent="0.25"/>
    <row r="560" ht="20.149999999999999" customHeight="1" x14ac:dyDescent="0.25"/>
    <row r="561" ht="20.149999999999999" customHeight="1" x14ac:dyDescent="0.25"/>
    <row r="562" ht="20.149999999999999" customHeight="1" x14ac:dyDescent="0.25"/>
    <row r="563" ht="20.149999999999999" customHeight="1" x14ac:dyDescent="0.25"/>
    <row r="564" ht="20.149999999999999" customHeight="1" x14ac:dyDescent="0.25"/>
    <row r="565" ht="20.149999999999999" customHeight="1" x14ac:dyDescent="0.25"/>
    <row r="566" ht="20.149999999999999" customHeight="1" x14ac:dyDescent="0.25"/>
    <row r="567" ht="20.149999999999999" customHeight="1" x14ac:dyDescent="0.25"/>
    <row r="568" ht="20.149999999999999" customHeight="1" x14ac:dyDescent="0.25"/>
    <row r="569" ht="20.149999999999999" customHeight="1" x14ac:dyDescent="0.25"/>
    <row r="570" ht="20.149999999999999" customHeight="1" x14ac:dyDescent="0.25"/>
    <row r="571" ht="20.149999999999999" customHeight="1" x14ac:dyDescent="0.25"/>
    <row r="572" ht="20.149999999999999" customHeight="1" x14ac:dyDescent="0.25"/>
    <row r="573" ht="20.149999999999999" customHeight="1" x14ac:dyDescent="0.25"/>
    <row r="574" ht="20.149999999999999" customHeight="1" x14ac:dyDescent="0.25"/>
    <row r="575" ht="20.149999999999999" customHeight="1" x14ac:dyDescent="0.25"/>
    <row r="576" ht="20.149999999999999" customHeight="1" x14ac:dyDescent="0.25"/>
    <row r="577" ht="20.149999999999999" customHeight="1" x14ac:dyDescent="0.25"/>
    <row r="578" ht="20.149999999999999" customHeight="1" x14ac:dyDescent="0.25"/>
    <row r="579" ht="20.149999999999999" customHeight="1" x14ac:dyDescent="0.25"/>
    <row r="580" ht="20.149999999999999" customHeight="1" x14ac:dyDescent="0.25"/>
    <row r="581" ht="20.149999999999999" customHeight="1" x14ac:dyDescent="0.25"/>
    <row r="582" ht="20.149999999999999" customHeight="1" x14ac:dyDescent="0.25"/>
    <row r="583" ht="20.149999999999999" customHeight="1" x14ac:dyDescent="0.25"/>
    <row r="584" ht="20.149999999999999" customHeight="1" x14ac:dyDescent="0.25"/>
    <row r="585" ht="20.149999999999999" customHeight="1" x14ac:dyDescent="0.25"/>
    <row r="586" ht="20.149999999999999" customHeight="1" x14ac:dyDescent="0.25"/>
    <row r="587" ht="20.149999999999999" customHeight="1" x14ac:dyDescent="0.25"/>
    <row r="588" ht="20.149999999999999" customHeight="1" x14ac:dyDescent="0.25"/>
    <row r="589" ht="20.149999999999999" customHeight="1" x14ac:dyDescent="0.25"/>
    <row r="590" ht="20.149999999999999" customHeight="1" x14ac:dyDescent="0.25"/>
    <row r="591" ht="20.149999999999999" customHeight="1" x14ac:dyDescent="0.25"/>
    <row r="592" ht="20.149999999999999" customHeight="1" x14ac:dyDescent="0.25"/>
    <row r="593" ht="20.149999999999999" customHeight="1" x14ac:dyDescent="0.25"/>
    <row r="594" ht="20.149999999999999" customHeight="1" x14ac:dyDescent="0.25"/>
    <row r="595" ht="20.149999999999999" customHeight="1" x14ac:dyDescent="0.25"/>
    <row r="596" ht="20.149999999999999" customHeight="1" x14ac:dyDescent="0.25"/>
    <row r="597" ht="20.149999999999999" customHeight="1" x14ac:dyDescent="0.25"/>
    <row r="598" ht="20.149999999999999" customHeight="1" x14ac:dyDescent="0.25"/>
    <row r="599" ht="20.149999999999999" customHeight="1" x14ac:dyDescent="0.25"/>
    <row r="600" ht="20.149999999999999" customHeight="1" x14ac:dyDescent="0.25"/>
    <row r="601" ht="20.149999999999999" customHeight="1" x14ac:dyDescent="0.25"/>
    <row r="602" ht="20.149999999999999" customHeight="1" x14ac:dyDescent="0.25"/>
    <row r="603" ht="20.149999999999999" customHeight="1" x14ac:dyDescent="0.25"/>
    <row r="604" ht="20.149999999999999" customHeight="1" x14ac:dyDescent="0.25"/>
    <row r="605" ht="20.149999999999999" customHeight="1" x14ac:dyDescent="0.25"/>
    <row r="606" ht="20.149999999999999" customHeight="1" x14ac:dyDescent="0.25"/>
    <row r="607" ht="20.149999999999999" customHeight="1" x14ac:dyDescent="0.25"/>
    <row r="608" ht="20.149999999999999" customHeight="1" x14ac:dyDescent="0.25"/>
    <row r="609" ht="20.149999999999999" customHeight="1" x14ac:dyDescent="0.25"/>
    <row r="610" ht="20.149999999999999" customHeight="1" x14ac:dyDescent="0.25"/>
    <row r="611" ht="20.149999999999999" customHeight="1" x14ac:dyDescent="0.25"/>
    <row r="612" ht="20.149999999999999" customHeight="1" x14ac:dyDescent="0.25"/>
    <row r="613" ht="20.149999999999999" customHeight="1" x14ac:dyDescent="0.25"/>
    <row r="614" ht="20.149999999999999" customHeight="1" x14ac:dyDescent="0.25"/>
    <row r="615" ht="20.149999999999999" customHeight="1" x14ac:dyDescent="0.25"/>
    <row r="616" ht="20.149999999999999" customHeight="1" x14ac:dyDescent="0.25"/>
    <row r="617" ht="20.149999999999999" customHeight="1" x14ac:dyDescent="0.25"/>
    <row r="618" ht="20.149999999999999" customHeight="1" x14ac:dyDescent="0.25"/>
    <row r="619" ht="20.149999999999999" customHeight="1" x14ac:dyDescent="0.25"/>
    <row r="620" ht="20.149999999999999" customHeight="1" x14ac:dyDescent="0.25"/>
    <row r="621" ht="20.149999999999999" customHeight="1" x14ac:dyDescent="0.25"/>
    <row r="622" ht="20.149999999999999" customHeight="1" x14ac:dyDescent="0.25"/>
    <row r="623" ht="20.149999999999999" customHeight="1" x14ac:dyDescent="0.25"/>
    <row r="624" ht="20.149999999999999" customHeight="1" x14ac:dyDescent="0.25"/>
    <row r="625" ht="20.149999999999999" customHeight="1" x14ac:dyDescent="0.25"/>
    <row r="626" ht="20.149999999999999" customHeight="1" x14ac:dyDescent="0.25"/>
    <row r="627" ht="20.149999999999999" customHeight="1" x14ac:dyDescent="0.25"/>
    <row r="628" ht="20.149999999999999" customHeight="1" x14ac:dyDescent="0.25"/>
    <row r="629" ht="20.149999999999999" customHeight="1" x14ac:dyDescent="0.25"/>
    <row r="630" ht="20.149999999999999" customHeight="1" x14ac:dyDescent="0.25"/>
    <row r="631" ht="20.149999999999999" customHeight="1" x14ac:dyDescent="0.25"/>
    <row r="632" ht="20.149999999999999" customHeight="1" x14ac:dyDescent="0.25"/>
    <row r="633" ht="20.149999999999999" customHeight="1" x14ac:dyDescent="0.25"/>
    <row r="634" ht="20.149999999999999" customHeight="1" x14ac:dyDescent="0.25"/>
    <row r="635" ht="20.149999999999999" customHeight="1" x14ac:dyDescent="0.25"/>
    <row r="636" ht="20.149999999999999" customHeight="1" x14ac:dyDescent="0.25"/>
    <row r="637" ht="20.149999999999999" customHeight="1" x14ac:dyDescent="0.25"/>
    <row r="638" ht="20.149999999999999" customHeight="1" x14ac:dyDescent="0.25"/>
    <row r="639" ht="20.149999999999999" customHeight="1" x14ac:dyDescent="0.25"/>
    <row r="640" ht="20.149999999999999" customHeight="1" x14ac:dyDescent="0.25"/>
    <row r="641" ht="20.149999999999999" customHeight="1" x14ac:dyDescent="0.25"/>
    <row r="642" ht="20.149999999999999" customHeight="1" x14ac:dyDescent="0.25"/>
    <row r="643" ht="20.149999999999999" customHeight="1" x14ac:dyDescent="0.25"/>
    <row r="644" ht="20.149999999999999" customHeight="1" x14ac:dyDescent="0.25"/>
    <row r="645" ht="20.149999999999999" customHeight="1" x14ac:dyDescent="0.25"/>
    <row r="646" ht="20.149999999999999" customHeight="1" x14ac:dyDescent="0.25"/>
    <row r="647" ht="20.149999999999999" customHeight="1" x14ac:dyDescent="0.25"/>
    <row r="648" ht="20.149999999999999" customHeight="1" x14ac:dyDescent="0.25"/>
    <row r="649" ht="20.149999999999999" customHeight="1" x14ac:dyDescent="0.25"/>
    <row r="650" ht="20.149999999999999" customHeight="1" x14ac:dyDescent="0.25"/>
    <row r="651" ht="20.149999999999999" customHeight="1" x14ac:dyDescent="0.25"/>
    <row r="652" ht="20.149999999999999" customHeight="1" x14ac:dyDescent="0.25"/>
    <row r="653" ht="20.149999999999999" customHeight="1" x14ac:dyDescent="0.25"/>
    <row r="654" ht="20.149999999999999" customHeight="1" x14ac:dyDescent="0.25"/>
    <row r="655" ht="20.149999999999999" customHeight="1" x14ac:dyDescent="0.25"/>
    <row r="656" ht="20.149999999999999" customHeight="1" x14ac:dyDescent="0.25"/>
    <row r="657" ht="20.149999999999999" customHeight="1" x14ac:dyDescent="0.25"/>
    <row r="658" ht="20.149999999999999" customHeight="1" x14ac:dyDescent="0.25"/>
    <row r="659" ht="20.149999999999999" customHeight="1" x14ac:dyDescent="0.25"/>
    <row r="660" ht="20.149999999999999" customHeight="1" x14ac:dyDescent="0.25"/>
    <row r="661" ht="20.149999999999999" customHeight="1" x14ac:dyDescent="0.25"/>
    <row r="662" ht="20.149999999999999" customHeight="1" x14ac:dyDescent="0.25"/>
    <row r="663" ht="20.149999999999999" customHeight="1" x14ac:dyDescent="0.25"/>
    <row r="664" ht="20.149999999999999" customHeight="1" x14ac:dyDescent="0.25"/>
    <row r="665" ht="20.149999999999999" customHeight="1" x14ac:dyDescent="0.25"/>
    <row r="666" ht="20.149999999999999" customHeight="1" x14ac:dyDescent="0.25"/>
    <row r="667" ht="20.149999999999999" customHeight="1" x14ac:dyDescent="0.25"/>
    <row r="668" ht="20.149999999999999" customHeight="1" x14ac:dyDescent="0.25"/>
    <row r="669" ht="20.149999999999999" customHeight="1" x14ac:dyDescent="0.25"/>
    <row r="670" ht="20.149999999999999" customHeight="1" x14ac:dyDescent="0.25"/>
    <row r="671" ht="20.149999999999999" customHeight="1" x14ac:dyDescent="0.25"/>
    <row r="672" ht="20.149999999999999" customHeight="1" x14ac:dyDescent="0.25"/>
    <row r="673" ht="20.149999999999999" customHeight="1" x14ac:dyDescent="0.25"/>
    <row r="674" ht="20.149999999999999" customHeight="1" x14ac:dyDescent="0.25"/>
    <row r="675" ht="20.149999999999999" customHeight="1" x14ac:dyDescent="0.25"/>
    <row r="676" ht="20.149999999999999" customHeight="1" x14ac:dyDescent="0.25"/>
    <row r="677" ht="20.149999999999999" customHeight="1" x14ac:dyDescent="0.25"/>
    <row r="678" ht="20.149999999999999" customHeight="1" x14ac:dyDescent="0.25"/>
    <row r="679" ht="20.149999999999999" customHeight="1" x14ac:dyDescent="0.25"/>
    <row r="680" ht="20.149999999999999" customHeight="1" x14ac:dyDescent="0.25"/>
    <row r="681" ht="20.149999999999999" customHeight="1" x14ac:dyDescent="0.25"/>
    <row r="682" ht="20.149999999999999" customHeight="1" x14ac:dyDescent="0.25"/>
    <row r="683" ht="20.149999999999999" customHeight="1" x14ac:dyDescent="0.25"/>
    <row r="684" ht="20.149999999999999" customHeight="1" x14ac:dyDescent="0.25"/>
    <row r="685" ht="20.149999999999999" customHeight="1" x14ac:dyDescent="0.25"/>
    <row r="686" ht="20.149999999999999" customHeight="1" x14ac:dyDescent="0.25"/>
    <row r="687" ht="20.149999999999999" customHeight="1" x14ac:dyDescent="0.25"/>
    <row r="688" ht="20.149999999999999" customHeight="1" x14ac:dyDescent="0.25"/>
    <row r="689" ht="20.149999999999999" customHeight="1" x14ac:dyDescent="0.25"/>
    <row r="690" ht="20.149999999999999" customHeight="1" x14ac:dyDescent="0.25"/>
    <row r="691" ht="20.149999999999999" customHeight="1" x14ac:dyDescent="0.25"/>
    <row r="692" ht="20.149999999999999" customHeight="1" x14ac:dyDescent="0.25"/>
    <row r="693" ht="20.149999999999999" customHeight="1" x14ac:dyDescent="0.25"/>
    <row r="694" ht="20.149999999999999" customHeight="1" x14ac:dyDescent="0.25"/>
    <row r="695" ht="20.149999999999999" customHeight="1" x14ac:dyDescent="0.25"/>
    <row r="696" ht="20.149999999999999" customHeight="1" x14ac:dyDescent="0.25"/>
    <row r="697" ht="20.149999999999999" customHeight="1" x14ac:dyDescent="0.25"/>
    <row r="698" ht="20.149999999999999" customHeight="1" x14ac:dyDescent="0.25"/>
    <row r="699" ht="20.149999999999999" customHeight="1" x14ac:dyDescent="0.25"/>
    <row r="700" ht="20.149999999999999" customHeight="1" x14ac:dyDescent="0.25"/>
    <row r="701" ht="20.149999999999999" customHeight="1" x14ac:dyDescent="0.25"/>
    <row r="702" ht="20.149999999999999" customHeight="1" x14ac:dyDescent="0.25"/>
    <row r="703" ht="20.149999999999999" customHeight="1" x14ac:dyDescent="0.25"/>
    <row r="704" ht="20.149999999999999" customHeight="1" x14ac:dyDescent="0.25"/>
    <row r="705" ht="20.149999999999999" customHeight="1" x14ac:dyDescent="0.25"/>
    <row r="706" ht="20.149999999999999" customHeight="1" x14ac:dyDescent="0.25"/>
    <row r="707" ht="20.149999999999999" customHeight="1" x14ac:dyDescent="0.25"/>
    <row r="708" ht="20.149999999999999" customHeight="1" x14ac:dyDescent="0.25"/>
    <row r="709" ht="20.149999999999999" customHeight="1" x14ac:dyDescent="0.25"/>
    <row r="710" ht="20.149999999999999" customHeight="1" x14ac:dyDescent="0.25"/>
    <row r="711" ht="20.149999999999999" customHeight="1" x14ac:dyDescent="0.25"/>
    <row r="712" ht="20.149999999999999" customHeight="1" x14ac:dyDescent="0.25"/>
    <row r="713" ht="20.149999999999999" customHeight="1" x14ac:dyDescent="0.25"/>
    <row r="714" ht="20.149999999999999" customHeight="1" x14ac:dyDescent="0.25"/>
    <row r="715" ht="20.149999999999999" customHeight="1" x14ac:dyDescent="0.25"/>
    <row r="716" ht="20.149999999999999" customHeight="1" x14ac:dyDescent="0.25"/>
    <row r="717" ht="20.149999999999999" customHeight="1" x14ac:dyDescent="0.25"/>
    <row r="718" ht="20.149999999999999" customHeight="1" x14ac:dyDescent="0.25"/>
    <row r="719" ht="20.149999999999999" customHeight="1" x14ac:dyDescent="0.25"/>
    <row r="720" ht="20.149999999999999" customHeight="1" x14ac:dyDescent="0.25"/>
    <row r="721" ht="20.149999999999999" customHeight="1" x14ac:dyDescent="0.25"/>
    <row r="722" ht="20.149999999999999" customHeight="1" x14ac:dyDescent="0.25"/>
    <row r="723" ht="20.149999999999999" customHeight="1" x14ac:dyDescent="0.25"/>
    <row r="724" ht="20.149999999999999" customHeight="1" x14ac:dyDescent="0.25"/>
    <row r="725" ht="20.149999999999999" customHeight="1" x14ac:dyDescent="0.25"/>
    <row r="726" ht="20.149999999999999" customHeight="1" x14ac:dyDescent="0.25"/>
    <row r="727" ht="20.149999999999999" customHeight="1" x14ac:dyDescent="0.25"/>
    <row r="728" ht="20.149999999999999" customHeight="1" x14ac:dyDescent="0.25"/>
    <row r="729" ht="20.149999999999999" customHeight="1" x14ac:dyDescent="0.25"/>
    <row r="730" ht="20.149999999999999" customHeight="1" x14ac:dyDescent="0.25"/>
    <row r="731" ht="20.149999999999999" customHeight="1" x14ac:dyDescent="0.25"/>
    <row r="732" ht="20.149999999999999" customHeight="1" x14ac:dyDescent="0.25"/>
    <row r="733" ht="20.149999999999999" customHeight="1" x14ac:dyDescent="0.25"/>
    <row r="734" ht="20.149999999999999" customHeight="1" x14ac:dyDescent="0.25"/>
    <row r="735" ht="20.149999999999999" customHeight="1" x14ac:dyDescent="0.25"/>
    <row r="736" ht="20.149999999999999" customHeight="1" x14ac:dyDescent="0.25"/>
    <row r="737" ht="20.149999999999999" customHeight="1" x14ac:dyDescent="0.25"/>
    <row r="738" ht="20.149999999999999" customHeight="1" x14ac:dyDescent="0.25"/>
    <row r="739" ht="20.149999999999999" customHeight="1" x14ac:dyDescent="0.25"/>
    <row r="740" ht="20.149999999999999" customHeight="1" x14ac:dyDescent="0.25"/>
    <row r="741" ht="20.149999999999999" customHeight="1" x14ac:dyDescent="0.25"/>
    <row r="742" ht="20.149999999999999" customHeight="1" x14ac:dyDescent="0.25"/>
    <row r="743" ht="20.149999999999999" customHeight="1" x14ac:dyDescent="0.25"/>
    <row r="744" ht="20.149999999999999" customHeight="1" x14ac:dyDescent="0.25"/>
    <row r="745" ht="20.149999999999999" customHeight="1" x14ac:dyDescent="0.25"/>
    <row r="746" ht="20.149999999999999" customHeight="1" x14ac:dyDescent="0.25"/>
    <row r="747" ht="20.149999999999999" customHeight="1" x14ac:dyDescent="0.25"/>
    <row r="748" ht="20.149999999999999" customHeight="1" x14ac:dyDescent="0.25"/>
    <row r="749" ht="20.149999999999999" customHeight="1" x14ac:dyDescent="0.25"/>
    <row r="750" ht="20.149999999999999" customHeight="1" x14ac:dyDescent="0.25"/>
    <row r="751" ht="20.149999999999999" customHeight="1" x14ac:dyDescent="0.25"/>
    <row r="752" ht="20.149999999999999" customHeight="1" x14ac:dyDescent="0.25"/>
    <row r="753" ht="20.149999999999999" customHeight="1" x14ac:dyDescent="0.25"/>
    <row r="754" ht="20.149999999999999" customHeight="1" x14ac:dyDescent="0.25"/>
    <row r="755" ht="20.149999999999999" customHeight="1" x14ac:dyDescent="0.25"/>
    <row r="756" ht="20.149999999999999" customHeight="1" x14ac:dyDescent="0.25"/>
    <row r="757" ht="20.149999999999999" customHeight="1" x14ac:dyDescent="0.25"/>
    <row r="758" ht="20.149999999999999" customHeight="1" x14ac:dyDescent="0.25"/>
    <row r="759" ht="20.149999999999999" customHeight="1" x14ac:dyDescent="0.25"/>
    <row r="760" ht="20.149999999999999" customHeight="1" x14ac:dyDescent="0.25"/>
    <row r="761" ht="20.149999999999999" customHeight="1" x14ac:dyDescent="0.25"/>
    <row r="762" ht="20.149999999999999" customHeight="1" x14ac:dyDescent="0.25"/>
    <row r="763" ht="20.149999999999999" customHeight="1" x14ac:dyDescent="0.25"/>
    <row r="764" ht="20.149999999999999" customHeight="1" x14ac:dyDescent="0.25"/>
    <row r="765" ht="20.149999999999999" customHeight="1" x14ac:dyDescent="0.25"/>
    <row r="766" ht="20.149999999999999" customHeight="1" x14ac:dyDescent="0.25"/>
    <row r="767" ht="20.149999999999999" customHeight="1" x14ac:dyDescent="0.25"/>
    <row r="768" ht="20.149999999999999" customHeight="1" x14ac:dyDescent="0.25"/>
    <row r="769" ht="20.149999999999999" customHeight="1" x14ac:dyDescent="0.25"/>
    <row r="770" ht="20.149999999999999" customHeight="1" x14ac:dyDescent="0.25"/>
    <row r="771" ht="20.149999999999999" customHeight="1" x14ac:dyDescent="0.25"/>
    <row r="772" ht="20.149999999999999" customHeight="1" x14ac:dyDescent="0.25"/>
    <row r="773" ht="20.149999999999999" customHeight="1" x14ac:dyDescent="0.25"/>
    <row r="774" ht="20.149999999999999" customHeight="1" x14ac:dyDescent="0.25"/>
    <row r="775" ht="20.149999999999999" customHeight="1" x14ac:dyDescent="0.25"/>
    <row r="776" ht="20.149999999999999" customHeight="1" x14ac:dyDescent="0.25"/>
    <row r="777" ht="20.149999999999999" customHeight="1" x14ac:dyDescent="0.25"/>
    <row r="778" ht="20.149999999999999" customHeight="1" x14ac:dyDescent="0.25"/>
    <row r="779" ht="20.149999999999999" customHeight="1" x14ac:dyDescent="0.25"/>
    <row r="780" ht="20.149999999999999" customHeight="1" x14ac:dyDescent="0.25"/>
    <row r="781" ht="20.149999999999999" customHeight="1" x14ac:dyDescent="0.25"/>
    <row r="782" ht="20.149999999999999" customHeight="1" x14ac:dyDescent="0.25"/>
    <row r="783" ht="20.149999999999999" customHeight="1" x14ac:dyDescent="0.25"/>
    <row r="784" ht="20.149999999999999" customHeight="1" x14ac:dyDescent="0.25"/>
    <row r="785" ht="20.149999999999999" customHeight="1" x14ac:dyDescent="0.25"/>
    <row r="786" ht="20.149999999999999" customHeight="1" x14ac:dyDescent="0.25"/>
    <row r="787" ht="20.149999999999999" customHeight="1" x14ac:dyDescent="0.25"/>
    <row r="788" ht="20.149999999999999" customHeight="1" x14ac:dyDescent="0.25"/>
    <row r="789" ht="20.149999999999999" customHeight="1" x14ac:dyDescent="0.25"/>
    <row r="790" ht="20.149999999999999" customHeight="1" x14ac:dyDescent="0.25"/>
    <row r="791" ht="20.149999999999999" customHeight="1" x14ac:dyDescent="0.25"/>
    <row r="792" ht="20.149999999999999" customHeight="1" x14ac:dyDescent="0.25"/>
    <row r="793" ht="20.149999999999999" customHeight="1" x14ac:dyDescent="0.25"/>
    <row r="794" ht="20.149999999999999" customHeight="1" x14ac:dyDescent="0.25"/>
    <row r="795" ht="20.149999999999999" customHeight="1" x14ac:dyDescent="0.25"/>
    <row r="796" ht="20.149999999999999" customHeight="1" x14ac:dyDescent="0.25"/>
    <row r="797" ht="20.149999999999999" customHeight="1" x14ac:dyDescent="0.25"/>
    <row r="798" ht="20.149999999999999" customHeight="1" x14ac:dyDescent="0.25"/>
    <row r="799" ht="20.149999999999999" customHeight="1" x14ac:dyDescent="0.25"/>
    <row r="800" ht="20.149999999999999" customHeight="1" x14ac:dyDescent="0.25"/>
    <row r="801" ht="20.149999999999999" customHeight="1" x14ac:dyDescent="0.25"/>
    <row r="802" ht="20.149999999999999" customHeight="1" x14ac:dyDescent="0.25"/>
    <row r="803" ht="20.149999999999999" customHeight="1" x14ac:dyDescent="0.25"/>
    <row r="804" ht="20.149999999999999" customHeight="1" x14ac:dyDescent="0.25"/>
    <row r="805" ht="20.149999999999999" customHeight="1" x14ac:dyDescent="0.25"/>
    <row r="806" ht="20.149999999999999" customHeight="1" x14ac:dyDescent="0.25"/>
    <row r="807" ht="20.149999999999999" customHeight="1" x14ac:dyDescent="0.25"/>
    <row r="808" ht="20.149999999999999" customHeight="1" x14ac:dyDescent="0.25"/>
    <row r="809" ht="20.149999999999999" customHeight="1" x14ac:dyDescent="0.25"/>
    <row r="810" ht="20.149999999999999" customHeight="1" x14ac:dyDescent="0.25"/>
    <row r="811" ht="20.149999999999999" customHeight="1" x14ac:dyDescent="0.25"/>
    <row r="812" ht="20.149999999999999" customHeight="1" x14ac:dyDescent="0.25"/>
    <row r="813" ht="20.149999999999999" customHeight="1" x14ac:dyDescent="0.25"/>
    <row r="814" ht="20.149999999999999" customHeight="1" x14ac:dyDescent="0.25"/>
    <row r="815" ht="20.149999999999999" customHeight="1" x14ac:dyDescent="0.25"/>
    <row r="816" ht="20.149999999999999" customHeight="1" x14ac:dyDescent="0.25"/>
    <row r="817" ht="20.149999999999999" customHeight="1" x14ac:dyDescent="0.25"/>
    <row r="818" ht="20.149999999999999" customHeight="1" x14ac:dyDescent="0.25"/>
    <row r="819" ht="20.149999999999999" customHeight="1" x14ac:dyDescent="0.25"/>
    <row r="820" ht="20.149999999999999" customHeight="1" x14ac:dyDescent="0.25"/>
    <row r="821" ht="20.149999999999999" customHeight="1" x14ac:dyDescent="0.25"/>
    <row r="822" ht="20.149999999999999" customHeight="1" x14ac:dyDescent="0.25"/>
    <row r="823" ht="20.149999999999999" customHeight="1" x14ac:dyDescent="0.25"/>
    <row r="824" ht="20.149999999999999" customHeight="1" x14ac:dyDescent="0.25"/>
    <row r="825" ht="20.149999999999999" customHeight="1" x14ac:dyDescent="0.25"/>
    <row r="826" ht="20.149999999999999" customHeight="1" x14ac:dyDescent="0.25"/>
    <row r="827" ht="20.149999999999999" customHeight="1" x14ac:dyDescent="0.25"/>
    <row r="828" ht="20.149999999999999" customHeight="1" x14ac:dyDescent="0.25"/>
    <row r="829" ht="20.149999999999999" customHeight="1" x14ac:dyDescent="0.25"/>
    <row r="830" ht="20.149999999999999" customHeight="1" x14ac:dyDescent="0.25"/>
    <row r="831" ht="20.149999999999999" customHeight="1" x14ac:dyDescent="0.25"/>
    <row r="832" ht="20.149999999999999" customHeight="1" x14ac:dyDescent="0.25"/>
    <row r="833" ht="20.149999999999999" customHeight="1" x14ac:dyDescent="0.25"/>
    <row r="834" ht="20.149999999999999" customHeight="1" x14ac:dyDescent="0.25"/>
    <row r="835" ht="20.149999999999999" customHeight="1" x14ac:dyDescent="0.25"/>
    <row r="836" ht="20.149999999999999" customHeight="1" x14ac:dyDescent="0.25"/>
    <row r="837" ht="20.149999999999999" customHeight="1" x14ac:dyDescent="0.25"/>
    <row r="838" ht="20.149999999999999" customHeight="1" x14ac:dyDescent="0.25"/>
    <row r="839" ht="20.149999999999999" customHeight="1" x14ac:dyDescent="0.25"/>
    <row r="840" ht="20.149999999999999" customHeight="1" x14ac:dyDescent="0.25"/>
    <row r="841" ht="20.149999999999999" customHeight="1" x14ac:dyDescent="0.25"/>
    <row r="842" ht="20.149999999999999" customHeight="1" x14ac:dyDescent="0.25"/>
    <row r="843" ht="20.149999999999999" customHeight="1" x14ac:dyDescent="0.25"/>
    <row r="844" ht="20.149999999999999" customHeight="1" x14ac:dyDescent="0.25"/>
    <row r="845" ht="20.149999999999999" customHeight="1" x14ac:dyDescent="0.25"/>
    <row r="846" ht="20.149999999999999" customHeight="1" x14ac:dyDescent="0.25"/>
    <row r="847" ht="20.149999999999999" customHeight="1" x14ac:dyDescent="0.25"/>
    <row r="848" ht="20.149999999999999" customHeight="1" x14ac:dyDescent="0.25"/>
    <row r="849" ht="20.149999999999999" customHeight="1" x14ac:dyDescent="0.25"/>
    <row r="850" ht="20.149999999999999" customHeight="1" x14ac:dyDescent="0.25"/>
    <row r="851" ht="20.149999999999999" customHeight="1" x14ac:dyDescent="0.25"/>
    <row r="852" ht="20.149999999999999" customHeight="1" x14ac:dyDescent="0.25"/>
    <row r="853" ht="20.149999999999999" customHeight="1" x14ac:dyDescent="0.25"/>
    <row r="854" ht="20.149999999999999" customHeight="1" x14ac:dyDescent="0.25"/>
    <row r="855" ht="20.149999999999999" customHeight="1" x14ac:dyDescent="0.25"/>
    <row r="856" ht="20.149999999999999" customHeight="1" x14ac:dyDescent="0.25"/>
    <row r="857" ht="20.149999999999999" customHeight="1" x14ac:dyDescent="0.25"/>
    <row r="858" ht="20.149999999999999" customHeight="1" x14ac:dyDescent="0.25"/>
    <row r="859" ht="20.149999999999999" customHeight="1" x14ac:dyDescent="0.25"/>
    <row r="860" ht="20.149999999999999" customHeight="1" x14ac:dyDescent="0.25"/>
    <row r="861" ht="20.149999999999999" customHeight="1" x14ac:dyDescent="0.25"/>
    <row r="862" ht="20.149999999999999" customHeight="1" x14ac:dyDescent="0.25"/>
    <row r="863" ht="20.149999999999999" customHeight="1" x14ac:dyDescent="0.25"/>
    <row r="864" ht="20.149999999999999" customHeight="1" x14ac:dyDescent="0.25"/>
    <row r="865" ht="20.149999999999999" customHeight="1" x14ac:dyDescent="0.25"/>
    <row r="866" ht="20.149999999999999" customHeight="1" x14ac:dyDescent="0.25"/>
    <row r="867" ht="20.149999999999999" customHeight="1" x14ac:dyDescent="0.25"/>
    <row r="868" ht="20.149999999999999" customHeight="1" x14ac:dyDescent="0.25"/>
    <row r="869" ht="20.149999999999999" customHeight="1" x14ac:dyDescent="0.25"/>
    <row r="870" ht="20.149999999999999" customHeight="1" x14ac:dyDescent="0.25"/>
    <row r="871" ht="20.149999999999999" customHeight="1" x14ac:dyDescent="0.25"/>
    <row r="872" ht="20.149999999999999" customHeight="1" x14ac:dyDescent="0.25"/>
    <row r="873" ht="20.149999999999999" customHeight="1" x14ac:dyDescent="0.25"/>
    <row r="874" ht="20.149999999999999" customHeight="1" x14ac:dyDescent="0.25"/>
    <row r="875" ht="20.149999999999999" customHeight="1" x14ac:dyDescent="0.25"/>
    <row r="876" ht="20.149999999999999" customHeight="1" x14ac:dyDescent="0.25"/>
    <row r="877" ht="20.149999999999999" customHeight="1" x14ac:dyDescent="0.25"/>
    <row r="878" ht="20.149999999999999" customHeight="1" x14ac:dyDescent="0.25"/>
    <row r="879" ht="20.149999999999999" customHeight="1" x14ac:dyDescent="0.25"/>
    <row r="880" ht="20.149999999999999" customHeight="1" x14ac:dyDescent="0.25"/>
    <row r="881" ht="20.149999999999999" customHeight="1" x14ac:dyDescent="0.25"/>
    <row r="882" ht="20.149999999999999" customHeight="1" x14ac:dyDescent="0.25"/>
    <row r="883" ht="20.149999999999999" customHeight="1" x14ac:dyDescent="0.25"/>
    <row r="884" ht="20.149999999999999" customHeight="1" x14ac:dyDescent="0.25"/>
    <row r="885" ht="20.149999999999999" customHeight="1" x14ac:dyDescent="0.25"/>
    <row r="886" ht="20.149999999999999" customHeight="1" x14ac:dyDescent="0.25"/>
    <row r="887" ht="20.149999999999999" customHeight="1" x14ac:dyDescent="0.25"/>
    <row r="888" ht="20.149999999999999" customHeight="1" x14ac:dyDescent="0.25"/>
    <row r="889" ht="20.149999999999999" customHeight="1" x14ac:dyDescent="0.25"/>
    <row r="890" ht="20.149999999999999" customHeight="1" x14ac:dyDescent="0.25"/>
    <row r="891" ht="20.149999999999999" customHeight="1" x14ac:dyDescent="0.25"/>
    <row r="892" ht="20.149999999999999" customHeight="1" x14ac:dyDescent="0.25"/>
    <row r="893" ht="20.149999999999999" customHeight="1" x14ac:dyDescent="0.25"/>
    <row r="894" ht="20.149999999999999" customHeight="1" x14ac:dyDescent="0.25"/>
    <row r="895" ht="20.149999999999999" customHeight="1" x14ac:dyDescent="0.25"/>
    <row r="896" ht="20.149999999999999" customHeight="1" x14ac:dyDescent="0.25"/>
    <row r="897" ht="20.149999999999999" customHeight="1" x14ac:dyDescent="0.25"/>
    <row r="898" ht="20.149999999999999" customHeight="1" x14ac:dyDescent="0.25"/>
    <row r="899" ht="20.149999999999999" customHeight="1" x14ac:dyDescent="0.25"/>
    <row r="900" ht="20.149999999999999" customHeight="1" x14ac:dyDescent="0.25"/>
    <row r="901" ht="20.149999999999999" customHeight="1" x14ac:dyDescent="0.25"/>
    <row r="902" ht="20.149999999999999" customHeight="1" x14ac:dyDescent="0.25"/>
    <row r="903" ht="20.149999999999999" customHeight="1" x14ac:dyDescent="0.25"/>
    <row r="904" ht="20.149999999999999" customHeight="1" x14ac:dyDescent="0.25"/>
    <row r="905" ht="20.149999999999999" customHeight="1" x14ac:dyDescent="0.25"/>
    <row r="906" ht="20.149999999999999" customHeight="1" x14ac:dyDescent="0.25"/>
    <row r="907" ht="20.149999999999999" customHeight="1" x14ac:dyDescent="0.25"/>
    <row r="908" ht="20.149999999999999" customHeight="1" x14ac:dyDescent="0.25"/>
    <row r="909" ht="20.149999999999999" customHeight="1" x14ac:dyDescent="0.25"/>
    <row r="910" ht="20.149999999999999" customHeight="1" x14ac:dyDescent="0.25"/>
    <row r="911" ht="20.149999999999999" customHeight="1" x14ac:dyDescent="0.25"/>
    <row r="912" ht="20.149999999999999" customHeight="1" x14ac:dyDescent="0.25"/>
    <row r="913" ht="20.149999999999999" customHeight="1" x14ac:dyDescent="0.25"/>
    <row r="914" ht="20.149999999999999" customHeight="1" x14ac:dyDescent="0.25"/>
    <row r="915" ht="20.149999999999999" customHeight="1" x14ac:dyDescent="0.25"/>
    <row r="916" ht="20.149999999999999" customHeight="1" x14ac:dyDescent="0.25"/>
    <row r="917" ht="20.149999999999999" customHeight="1" x14ac:dyDescent="0.25"/>
    <row r="918" ht="20.149999999999999" customHeight="1" x14ac:dyDescent="0.25"/>
    <row r="919" ht="20.149999999999999" customHeight="1" x14ac:dyDescent="0.25"/>
    <row r="920" ht="20.149999999999999" customHeight="1" x14ac:dyDescent="0.25"/>
    <row r="921" ht="20.149999999999999" customHeight="1" x14ac:dyDescent="0.25"/>
    <row r="922" ht="20.149999999999999" customHeight="1" x14ac:dyDescent="0.25"/>
    <row r="923" ht="20.149999999999999" customHeight="1" x14ac:dyDescent="0.25"/>
    <row r="924" ht="20.149999999999999" customHeight="1" x14ac:dyDescent="0.25"/>
    <row r="925" ht="20.149999999999999" customHeight="1" x14ac:dyDescent="0.25"/>
    <row r="926" ht="20.149999999999999" customHeight="1" x14ac:dyDescent="0.25"/>
    <row r="927" ht="20.149999999999999" customHeight="1" x14ac:dyDescent="0.25"/>
    <row r="928" ht="20.149999999999999" customHeight="1" x14ac:dyDescent="0.25"/>
    <row r="929" ht="20.149999999999999" customHeight="1" x14ac:dyDescent="0.25"/>
    <row r="930" ht="20.149999999999999" customHeight="1" x14ac:dyDescent="0.25"/>
    <row r="931" ht="20.149999999999999" customHeight="1" x14ac:dyDescent="0.25"/>
    <row r="932" ht="20.149999999999999" customHeight="1" x14ac:dyDescent="0.25"/>
    <row r="933" ht="20.149999999999999" customHeight="1" x14ac:dyDescent="0.25"/>
    <row r="934" ht="20.149999999999999" customHeight="1" x14ac:dyDescent="0.25"/>
    <row r="935" ht="20.149999999999999" customHeight="1" x14ac:dyDescent="0.25"/>
    <row r="936" ht="20.149999999999999" customHeight="1" x14ac:dyDescent="0.25"/>
    <row r="937" ht="20.149999999999999" customHeight="1" x14ac:dyDescent="0.25"/>
    <row r="938" ht="20.149999999999999" customHeight="1" x14ac:dyDescent="0.25"/>
    <row r="939" ht="20.149999999999999" customHeight="1" x14ac:dyDescent="0.25"/>
    <row r="940" ht="20.149999999999999" customHeight="1" x14ac:dyDescent="0.25"/>
    <row r="941" ht="20.149999999999999" customHeight="1" x14ac:dyDescent="0.25"/>
    <row r="942" ht="20.149999999999999" customHeight="1" x14ac:dyDescent="0.25"/>
    <row r="943" ht="20.149999999999999" customHeight="1" x14ac:dyDescent="0.25"/>
    <row r="944" ht="20.149999999999999" customHeight="1" x14ac:dyDescent="0.25"/>
    <row r="945" ht="20.149999999999999" customHeight="1" x14ac:dyDescent="0.25"/>
    <row r="946" ht="20.149999999999999" customHeight="1" x14ac:dyDescent="0.25"/>
    <row r="947" ht="20.149999999999999" customHeight="1" x14ac:dyDescent="0.25"/>
    <row r="948" ht="20.149999999999999" customHeight="1" x14ac:dyDescent="0.25"/>
    <row r="949" ht="20.149999999999999" customHeight="1" x14ac:dyDescent="0.25"/>
    <row r="950" ht="20.149999999999999" customHeight="1" x14ac:dyDescent="0.25"/>
    <row r="951" ht="20.149999999999999" customHeight="1" x14ac:dyDescent="0.25"/>
    <row r="952" ht="20.149999999999999" customHeight="1" x14ac:dyDescent="0.25"/>
    <row r="953" ht="20.149999999999999" customHeight="1" x14ac:dyDescent="0.25"/>
    <row r="954" ht="20.149999999999999" customHeight="1" x14ac:dyDescent="0.25"/>
    <row r="955" ht="20.149999999999999" customHeight="1" x14ac:dyDescent="0.25"/>
    <row r="956" ht="20.149999999999999" customHeight="1" x14ac:dyDescent="0.25"/>
    <row r="957" ht="20.149999999999999" customHeight="1" x14ac:dyDescent="0.25"/>
    <row r="958" ht="20.149999999999999" customHeight="1" x14ac:dyDescent="0.25"/>
    <row r="959" ht="20.149999999999999" customHeight="1" x14ac:dyDescent="0.25"/>
    <row r="960" ht="20.149999999999999" customHeight="1" x14ac:dyDescent="0.25"/>
    <row r="961" ht="20.149999999999999" customHeight="1" x14ac:dyDescent="0.25"/>
    <row r="962" ht="20.149999999999999" customHeight="1" x14ac:dyDescent="0.25"/>
    <row r="963" ht="20.149999999999999" customHeight="1" x14ac:dyDescent="0.25"/>
    <row r="964" ht="20.149999999999999" customHeight="1" x14ac:dyDescent="0.25"/>
    <row r="965" ht="20.149999999999999" customHeight="1" x14ac:dyDescent="0.25"/>
    <row r="966" ht="20.149999999999999" customHeight="1" x14ac:dyDescent="0.25"/>
    <row r="967" ht="20.149999999999999" customHeight="1" x14ac:dyDescent="0.25"/>
    <row r="968" ht="20.149999999999999" customHeight="1" x14ac:dyDescent="0.25"/>
    <row r="969" ht="20.149999999999999" customHeight="1" x14ac:dyDescent="0.25"/>
    <row r="970" ht="20.149999999999999" customHeight="1" x14ac:dyDescent="0.25"/>
    <row r="971" ht="20.149999999999999" customHeight="1" x14ac:dyDescent="0.25"/>
    <row r="972" ht="20.149999999999999" customHeight="1" x14ac:dyDescent="0.25"/>
    <row r="973" ht="20.149999999999999" customHeight="1" x14ac:dyDescent="0.25"/>
    <row r="974" ht="20.149999999999999" customHeight="1" x14ac:dyDescent="0.25"/>
    <row r="975" ht="20.149999999999999" customHeight="1" x14ac:dyDescent="0.25"/>
    <row r="976" ht="20.149999999999999" customHeight="1" x14ac:dyDescent="0.25"/>
    <row r="977" ht="20.149999999999999" customHeight="1" x14ac:dyDescent="0.25"/>
    <row r="978" ht="20.149999999999999" customHeight="1" x14ac:dyDescent="0.25"/>
    <row r="979" ht="20.149999999999999" customHeight="1" x14ac:dyDescent="0.25"/>
    <row r="980" ht="20.149999999999999" customHeight="1" x14ac:dyDescent="0.25"/>
    <row r="981" ht="20.149999999999999" customHeight="1" x14ac:dyDescent="0.25"/>
    <row r="982" ht="20.149999999999999" customHeight="1" x14ac:dyDescent="0.25"/>
    <row r="983" ht="20.149999999999999" customHeight="1" x14ac:dyDescent="0.25"/>
    <row r="984" ht="20.149999999999999" customHeight="1" x14ac:dyDescent="0.25"/>
    <row r="985" ht="20.149999999999999" customHeight="1" x14ac:dyDescent="0.25"/>
    <row r="986" ht="20.149999999999999" customHeight="1" x14ac:dyDescent="0.25"/>
    <row r="987" ht="20.149999999999999" customHeight="1" x14ac:dyDescent="0.25"/>
    <row r="988" ht="20.149999999999999" customHeight="1" x14ac:dyDescent="0.25"/>
    <row r="989" ht="20.149999999999999" customHeight="1" x14ac:dyDescent="0.25"/>
    <row r="990" ht="20.149999999999999" customHeight="1" x14ac:dyDescent="0.25"/>
    <row r="991" ht="20.149999999999999" customHeight="1" x14ac:dyDescent="0.25"/>
    <row r="992" ht="20.149999999999999" customHeight="1" x14ac:dyDescent="0.25"/>
    <row r="993" ht="20.149999999999999" customHeight="1" x14ac:dyDescent="0.25"/>
    <row r="994" ht="20.149999999999999" customHeight="1" x14ac:dyDescent="0.25"/>
    <row r="995" ht="20.149999999999999" customHeight="1" x14ac:dyDescent="0.25"/>
    <row r="996" ht="20.149999999999999" customHeight="1" x14ac:dyDescent="0.25"/>
    <row r="997" ht="20.149999999999999" customHeight="1" x14ac:dyDescent="0.25"/>
    <row r="998" ht="20.149999999999999" customHeight="1" x14ac:dyDescent="0.25"/>
    <row r="999" ht="20.149999999999999" customHeight="1" x14ac:dyDescent="0.25"/>
    <row r="1000" ht="20.149999999999999" customHeight="1" x14ac:dyDescent="0.25"/>
    <row r="1001" ht="20.149999999999999" customHeight="1" x14ac:dyDescent="0.25"/>
    <row r="1002" ht="20.149999999999999" customHeight="1" x14ac:dyDescent="0.25"/>
    <row r="1003" ht="20.149999999999999" customHeight="1" x14ac:dyDescent="0.25"/>
    <row r="1004" ht="20.149999999999999" customHeight="1" x14ac:dyDescent="0.25"/>
    <row r="1005" ht="20.149999999999999" customHeight="1" x14ac:dyDescent="0.25"/>
    <row r="1006" ht="20.149999999999999" customHeight="1" x14ac:dyDescent="0.25"/>
    <row r="1007" ht="20.149999999999999" customHeight="1" x14ac:dyDescent="0.25"/>
    <row r="1008" ht="20.149999999999999" customHeight="1" x14ac:dyDescent="0.25"/>
    <row r="1009" ht="20.149999999999999" customHeight="1" x14ac:dyDescent="0.25"/>
    <row r="1010" ht="20.149999999999999" customHeight="1" x14ac:dyDescent="0.25"/>
    <row r="1011" ht="20.149999999999999" customHeight="1" x14ac:dyDescent="0.25"/>
    <row r="1012" ht="20.149999999999999" customHeight="1" x14ac:dyDescent="0.25"/>
    <row r="1013" ht="20.149999999999999" customHeight="1" x14ac:dyDescent="0.25"/>
    <row r="1014" ht="20.149999999999999" customHeight="1" x14ac:dyDescent="0.25"/>
    <row r="1015" ht="20.149999999999999" customHeight="1" x14ac:dyDescent="0.25"/>
    <row r="1016" ht="20.149999999999999" customHeight="1" x14ac:dyDescent="0.25"/>
    <row r="1017" ht="20.149999999999999" customHeight="1" x14ac:dyDescent="0.25"/>
    <row r="1018" ht="20.149999999999999" customHeight="1" x14ac:dyDescent="0.25"/>
    <row r="1019" ht="20.149999999999999" customHeight="1" x14ac:dyDescent="0.25"/>
    <row r="1020" ht="20.149999999999999" customHeight="1" x14ac:dyDescent="0.25"/>
    <row r="1021" ht="20.149999999999999" customHeight="1" x14ac:dyDescent="0.25"/>
    <row r="1022" ht="20.149999999999999" customHeight="1" x14ac:dyDescent="0.25"/>
    <row r="1023" ht="20.149999999999999" customHeight="1" x14ac:dyDescent="0.25"/>
    <row r="1024" ht="20.149999999999999" customHeight="1" x14ac:dyDescent="0.25"/>
    <row r="1025" ht="20.149999999999999" customHeight="1" x14ac:dyDescent="0.25"/>
    <row r="1026" ht="20.149999999999999" customHeight="1" x14ac:dyDescent="0.25"/>
    <row r="1027" ht="20.149999999999999" customHeight="1" x14ac:dyDescent="0.25"/>
    <row r="1028" ht="20.149999999999999" customHeight="1" x14ac:dyDescent="0.25"/>
    <row r="1029" ht="20.149999999999999" customHeight="1" x14ac:dyDescent="0.25"/>
    <row r="1030" ht="20.149999999999999" customHeight="1" x14ac:dyDescent="0.25"/>
    <row r="1031" ht="20.149999999999999" customHeight="1" x14ac:dyDescent="0.25"/>
    <row r="1032" ht="20.149999999999999" customHeight="1" x14ac:dyDescent="0.25"/>
    <row r="1033" ht="20.149999999999999" customHeight="1" x14ac:dyDescent="0.25"/>
    <row r="1034" ht="20.149999999999999" customHeight="1" x14ac:dyDescent="0.25"/>
    <row r="1035" ht="20.149999999999999" customHeight="1" x14ac:dyDescent="0.25"/>
    <row r="1036" ht="20.149999999999999" customHeight="1" x14ac:dyDescent="0.25"/>
    <row r="1037" ht="20.149999999999999" customHeight="1" x14ac:dyDescent="0.25"/>
    <row r="1038" ht="20.149999999999999" customHeight="1" x14ac:dyDescent="0.25"/>
    <row r="1039" ht="20.149999999999999" customHeight="1" x14ac:dyDescent="0.25"/>
    <row r="1040" ht="20.149999999999999" customHeight="1" x14ac:dyDescent="0.25"/>
    <row r="1041" ht="20.149999999999999" customHeight="1" x14ac:dyDescent="0.25"/>
    <row r="1042" ht="20.149999999999999" customHeight="1" x14ac:dyDescent="0.25"/>
    <row r="1043" ht="20.149999999999999" customHeight="1" x14ac:dyDescent="0.25"/>
    <row r="1044" ht="20.149999999999999" customHeight="1" x14ac:dyDescent="0.25"/>
    <row r="1045" ht="20.149999999999999" customHeight="1" x14ac:dyDescent="0.25"/>
    <row r="1046" ht="20.149999999999999" customHeight="1" x14ac:dyDescent="0.25"/>
    <row r="1047" ht="20.149999999999999" customHeight="1" x14ac:dyDescent="0.25"/>
    <row r="1048" ht="20.149999999999999" customHeight="1" x14ac:dyDescent="0.25"/>
    <row r="1049" ht="20.149999999999999" customHeight="1" x14ac:dyDescent="0.25"/>
    <row r="1050" ht="20.149999999999999" customHeight="1" x14ac:dyDescent="0.25"/>
    <row r="1051" ht="20.149999999999999" customHeight="1" x14ac:dyDescent="0.25"/>
    <row r="1052" ht="20.149999999999999" customHeight="1" x14ac:dyDescent="0.25"/>
    <row r="1053" ht="20.149999999999999" customHeight="1" x14ac:dyDescent="0.25"/>
    <row r="1054" ht="20.149999999999999" customHeight="1" x14ac:dyDescent="0.25"/>
    <row r="1055" ht="20.149999999999999" customHeight="1" x14ac:dyDescent="0.25"/>
    <row r="1056" ht="20.149999999999999" customHeight="1" x14ac:dyDescent="0.25"/>
    <row r="1057" ht="20.149999999999999" customHeight="1" x14ac:dyDescent="0.25"/>
    <row r="1058" ht="20.149999999999999" customHeight="1" x14ac:dyDescent="0.25"/>
    <row r="1059" ht="20.149999999999999" customHeight="1" x14ac:dyDescent="0.25"/>
    <row r="1060" ht="20.149999999999999" customHeight="1" x14ac:dyDescent="0.25"/>
    <row r="1061" ht="20.149999999999999" customHeight="1" x14ac:dyDescent="0.25"/>
    <row r="1062" ht="20.149999999999999" customHeight="1" x14ac:dyDescent="0.25"/>
    <row r="1063" ht="20.149999999999999" customHeight="1" x14ac:dyDescent="0.25"/>
    <row r="1064" ht="20.149999999999999" customHeight="1" x14ac:dyDescent="0.25"/>
    <row r="1065" ht="20.149999999999999" customHeight="1" x14ac:dyDescent="0.25"/>
    <row r="1066" ht="20.149999999999999" customHeight="1" x14ac:dyDescent="0.25"/>
    <row r="1067" ht="20.149999999999999" customHeight="1" x14ac:dyDescent="0.25"/>
    <row r="1068" ht="20.149999999999999" customHeight="1" x14ac:dyDescent="0.25"/>
    <row r="1069" ht="20.149999999999999" customHeight="1" x14ac:dyDescent="0.25"/>
    <row r="1070" ht="20.149999999999999" customHeight="1" x14ac:dyDescent="0.25"/>
    <row r="1071" ht="20.149999999999999" customHeight="1" x14ac:dyDescent="0.25"/>
    <row r="1072" ht="20.149999999999999" customHeight="1" x14ac:dyDescent="0.25"/>
    <row r="1073" ht="20.149999999999999" customHeight="1" x14ac:dyDescent="0.25"/>
    <row r="1074" ht="20.149999999999999" customHeight="1" x14ac:dyDescent="0.25"/>
    <row r="1075" ht="20.149999999999999" customHeight="1" x14ac:dyDescent="0.25"/>
    <row r="1076" ht="20.149999999999999" customHeight="1" x14ac:dyDescent="0.25"/>
    <row r="1077" ht="20.149999999999999" customHeight="1" x14ac:dyDescent="0.25"/>
    <row r="1078" ht="20.149999999999999" customHeight="1" x14ac:dyDescent="0.25"/>
    <row r="1079" ht="20.149999999999999" customHeight="1" x14ac:dyDescent="0.25"/>
    <row r="1080" ht="20.149999999999999" customHeight="1" x14ac:dyDescent="0.25"/>
    <row r="1081" ht="20.149999999999999" customHeight="1" x14ac:dyDescent="0.25"/>
    <row r="1082" ht="20.149999999999999" customHeight="1" x14ac:dyDescent="0.25"/>
    <row r="1083" ht="20.149999999999999" customHeight="1" x14ac:dyDescent="0.25"/>
    <row r="1084" ht="20.149999999999999" customHeight="1" x14ac:dyDescent="0.25"/>
    <row r="1085" ht="20.149999999999999" customHeight="1" x14ac:dyDescent="0.25"/>
    <row r="1086" ht="20.149999999999999" customHeight="1" x14ac:dyDescent="0.25"/>
    <row r="1087" ht="20.149999999999999" customHeight="1" x14ac:dyDescent="0.25"/>
    <row r="1088" ht="20.149999999999999" customHeight="1" x14ac:dyDescent="0.25"/>
    <row r="1089" ht="20.149999999999999" customHeight="1" x14ac:dyDescent="0.25"/>
    <row r="1090" ht="20.149999999999999" customHeight="1" x14ac:dyDescent="0.25"/>
    <row r="1091" ht="20.149999999999999" customHeight="1" x14ac:dyDescent="0.25"/>
    <row r="1092" ht="20.149999999999999" customHeight="1" x14ac:dyDescent="0.25"/>
    <row r="1093" ht="20.149999999999999" customHeight="1" x14ac:dyDescent="0.25"/>
    <row r="1094" ht="20.149999999999999" customHeight="1" x14ac:dyDescent="0.25"/>
    <row r="1095" ht="20.149999999999999" customHeight="1" x14ac:dyDescent="0.25"/>
    <row r="1096" ht="20.149999999999999" customHeight="1" x14ac:dyDescent="0.25"/>
    <row r="1097" ht="20.149999999999999" customHeight="1" x14ac:dyDescent="0.25"/>
    <row r="1098" ht="20.149999999999999" customHeight="1" x14ac:dyDescent="0.25"/>
    <row r="1099" ht="20.149999999999999" customHeight="1" x14ac:dyDescent="0.25"/>
    <row r="1100" ht="20.149999999999999" customHeight="1" x14ac:dyDescent="0.25"/>
    <row r="1101" ht="20.149999999999999" customHeight="1" x14ac:dyDescent="0.25"/>
    <row r="1102" ht="20.149999999999999" customHeight="1" x14ac:dyDescent="0.25"/>
    <row r="1103" ht="20.149999999999999" customHeight="1" x14ac:dyDescent="0.25"/>
    <row r="1104" ht="20.149999999999999" customHeight="1" x14ac:dyDescent="0.25"/>
    <row r="1105" ht="20.149999999999999" customHeight="1" x14ac:dyDescent="0.25"/>
    <row r="1106" ht="20.149999999999999" customHeight="1" x14ac:dyDescent="0.25"/>
    <row r="1107" ht="20.149999999999999" customHeight="1" x14ac:dyDescent="0.25"/>
    <row r="1108" ht="20.149999999999999" customHeight="1" x14ac:dyDescent="0.25"/>
    <row r="1109" ht="20.149999999999999" customHeight="1" x14ac:dyDescent="0.25"/>
    <row r="1110" ht="20.149999999999999" customHeight="1" x14ac:dyDescent="0.25"/>
    <row r="1111" ht="20.149999999999999" customHeight="1" x14ac:dyDescent="0.25"/>
    <row r="1112" ht="20.149999999999999" customHeight="1" x14ac:dyDescent="0.25"/>
    <row r="1113" ht="20.149999999999999" customHeight="1" x14ac:dyDescent="0.25"/>
    <row r="1114" ht="20.149999999999999" customHeight="1" x14ac:dyDescent="0.25"/>
    <row r="1115" ht="20.149999999999999" customHeight="1" x14ac:dyDescent="0.25"/>
    <row r="1116" ht="20.149999999999999" customHeight="1" x14ac:dyDescent="0.25"/>
    <row r="1117" ht="20.149999999999999" customHeight="1" x14ac:dyDescent="0.25"/>
    <row r="1118" ht="20.149999999999999" customHeight="1" x14ac:dyDescent="0.25"/>
    <row r="1119" ht="20.149999999999999" customHeight="1" x14ac:dyDescent="0.25"/>
    <row r="1120" ht="20.149999999999999" customHeight="1" x14ac:dyDescent="0.25"/>
    <row r="1121" ht="20.149999999999999" customHeight="1" x14ac:dyDescent="0.25"/>
    <row r="1122" ht="20.149999999999999" customHeight="1" x14ac:dyDescent="0.25"/>
    <row r="1123" ht="20.149999999999999" customHeight="1" x14ac:dyDescent="0.25"/>
    <row r="1124" ht="20.149999999999999" customHeight="1" x14ac:dyDescent="0.25"/>
    <row r="1125" ht="20.149999999999999" customHeight="1" x14ac:dyDescent="0.25"/>
    <row r="1126" ht="20.149999999999999" customHeight="1" x14ac:dyDescent="0.25"/>
    <row r="1127" ht="20.149999999999999" customHeight="1" x14ac:dyDescent="0.25"/>
    <row r="1128" ht="20.149999999999999" customHeight="1" x14ac:dyDescent="0.25"/>
    <row r="1129" ht="20.149999999999999" customHeight="1" x14ac:dyDescent="0.25"/>
    <row r="1130" ht="20.149999999999999" customHeight="1" x14ac:dyDescent="0.25"/>
    <row r="1131" ht="20.149999999999999" customHeight="1" x14ac:dyDescent="0.25"/>
    <row r="1132" ht="20.149999999999999" customHeight="1" x14ac:dyDescent="0.25"/>
    <row r="1133" ht="20.149999999999999" customHeight="1" x14ac:dyDescent="0.25"/>
    <row r="1134" ht="20.149999999999999" customHeight="1" x14ac:dyDescent="0.25"/>
    <row r="1135" ht="20.149999999999999" customHeight="1" x14ac:dyDescent="0.25"/>
    <row r="1136" ht="20.149999999999999" customHeight="1" x14ac:dyDescent="0.25"/>
    <row r="1137" ht="20.149999999999999" customHeight="1" x14ac:dyDescent="0.25"/>
    <row r="1138" ht="20.149999999999999" customHeight="1" x14ac:dyDescent="0.25"/>
    <row r="1139" ht="20.149999999999999" customHeight="1" x14ac:dyDescent="0.25"/>
    <row r="1140" ht="20.149999999999999" customHeight="1" x14ac:dyDescent="0.25"/>
    <row r="1141" ht="20.149999999999999" customHeight="1" x14ac:dyDescent="0.25"/>
    <row r="1142" ht="20.149999999999999" customHeight="1" x14ac:dyDescent="0.25"/>
    <row r="1143" ht="20.149999999999999" customHeight="1" x14ac:dyDescent="0.25"/>
    <row r="1144" ht="20.149999999999999" customHeight="1" x14ac:dyDescent="0.25"/>
    <row r="1145" ht="20.149999999999999" customHeight="1" x14ac:dyDescent="0.25"/>
    <row r="1146" ht="20.149999999999999" customHeight="1" x14ac:dyDescent="0.25"/>
    <row r="1147" ht="20.149999999999999" customHeight="1" x14ac:dyDescent="0.25"/>
    <row r="1148" ht="20.149999999999999" customHeight="1" x14ac:dyDescent="0.25"/>
    <row r="1149" ht="20.149999999999999" customHeight="1" x14ac:dyDescent="0.25"/>
    <row r="1150" ht="20.149999999999999" customHeight="1" x14ac:dyDescent="0.25"/>
    <row r="1151" ht="20.149999999999999" customHeight="1" x14ac:dyDescent="0.25"/>
    <row r="1152" ht="20.149999999999999" customHeight="1" x14ac:dyDescent="0.25"/>
    <row r="1153" ht="20.149999999999999" customHeight="1" x14ac:dyDescent="0.25"/>
    <row r="1154" ht="20.149999999999999" customHeight="1" x14ac:dyDescent="0.25"/>
    <row r="1155" ht="20.149999999999999" customHeight="1" x14ac:dyDescent="0.25"/>
    <row r="1156" ht="20.149999999999999" customHeight="1" x14ac:dyDescent="0.25"/>
    <row r="1157" ht="20.149999999999999" customHeight="1" x14ac:dyDescent="0.25"/>
    <row r="1158" ht="20.149999999999999" customHeight="1" x14ac:dyDescent="0.25"/>
    <row r="1159" ht="20.149999999999999" customHeight="1" x14ac:dyDescent="0.25"/>
    <row r="1160" ht="20.149999999999999" customHeight="1" x14ac:dyDescent="0.25"/>
    <row r="1161" ht="20.149999999999999" customHeight="1" x14ac:dyDescent="0.25"/>
    <row r="1162" ht="20.149999999999999" customHeight="1" x14ac:dyDescent="0.25"/>
    <row r="1163" ht="20.149999999999999" customHeight="1" x14ac:dyDescent="0.25"/>
    <row r="1164" ht="20.149999999999999" customHeight="1" x14ac:dyDescent="0.25"/>
    <row r="1165" ht="20.149999999999999" customHeight="1" x14ac:dyDescent="0.25"/>
    <row r="1166" ht="20.149999999999999" customHeight="1" x14ac:dyDescent="0.25"/>
    <row r="1167" ht="20.149999999999999" customHeight="1" x14ac:dyDescent="0.25"/>
    <row r="1168" ht="20.149999999999999" customHeight="1" x14ac:dyDescent="0.25"/>
    <row r="1169" ht="20.149999999999999" customHeight="1" x14ac:dyDescent="0.25"/>
    <row r="1170" ht="20.149999999999999" customHeight="1" x14ac:dyDescent="0.25"/>
    <row r="1171" ht="20.149999999999999" customHeight="1" x14ac:dyDescent="0.25"/>
    <row r="1172" ht="20.149999999999999" customHeight="1" x14ac:dyDescent="0.25"/>
    <row r="1173" ht="20.149999999999999" customHeight="1" x14ac:dyDescent="0.25"/>
    <row r="1174" ht="20.149999999999999" customHeight="1" x14ac:dyDescent="0.25"/>
    <row r="1175" ht="20.149999999999999" customHeight="1" x14ac:dyDescent="0.25"/>
    <row r="1176" ht="20.149999999999999" customHeight="1" x14ac:dyDescent="0.25"/>
    <row r="1177" ht="20.149999999999999" customHeight="1" x14ac:dyDescent="0.25"/>
    <row r="1178" ht="20.149999999999999" customHeight="1" x14ac:dyDescent="0.25"/>
    <row r="1179" ht="20.149999999999999" customHeight="1" x14ac:dyDescent="0.25"/>
    <row r="1180" ht="20.149999999999999" customHeight="1" x14ac:dyDescent="0.25"/>
    <row r="1181" ht="20.149999999999999" customHeight="1" x14ac:dyDescent="0.25"/>
    <row r="1182" ht="20.149999999999999" customHeight="1" x14ac:dyDescent="0.25"/>
    <row r="1183" ht="20.149999999999999" customHeight="1" x14ac:dyDescent="0.25"/>
    <row r="1184" ht="20.149999999999999" customHeight="1" x14ac:dyDescent="0.25"/>
    <row r="1185" ht="20.149999999999999" customHeight="1" x14ac:dyDescent="0.25"/>
    <row r="1186" ht="20.149999999999999" customHeight="1" x14ac:dyDescent="0.25"/>
    <row r="1187" ht="20.149999999999999" customHeight="1" x14ac:dyDescent="0.25"/>
    <row r="1188" ht="20.149999999999999" customHeight="1" x14ac:dyDescent="0.25"/>
    <row r="1189" ht="20.149999999999999" customHeight="1" x14ac:dyDescent="0.25"/>
    <row r="1190" ht="20.149999999999999" customHeight="1" x14ac:dyDescent="0.25"/>
    <row r="1191" ht="20.149999999999999" customHeight="1" x14ac:dyDescent="0.25"/>
    <row r="1192" ht="20.149999999999999" customHeight="1" x14ac:dyDescent="0.25"/>
    <row r="1193" ht="20.149999999999999" customHeight="1" x14ac:dyDescent="0.25"/>
    <row r="1194" ht="20.149999999999999" customHeight="1" x14ac:dyDescent="0.25"/>
    <row r="1195" ht="20.149999999999999" customHeight="1" x14ac:dyDescent="0.25"/>
    <row r="1196" ht="20.149999999999999" customHeight="1" x14ac:dyDescent="0.25"/>
    <row r="1197" ht="20.149999999999999" customHeight="1" x14ac:dyDescent="0.25"/>
    <row r="1198" ht="20.149999999999999" customHeight="1" x14ac:dyDescent="0.25"/>
    <row r="1199" ht="20.149999999999999" customHeight="1" x14ac:dyDescent="0.25"/>
    <row r="1200" ht="20.149999999999999" customHeight="1" x14ac:dyDescent="0.25"/>
    <row r="1201" ht="20.149999999999999" customHeight="1" x14ac:dyDescent="0.25"/>
    <row r="1202" ht="20.149999999999999" customHeight="1" x14ac:dyDescent="0.25"/>
    <row r="1203" ht="20.149999999999999" customHeight="1" x14ac:dyDescent="0.25"/>
    <row r="1204" ht="20.149999999999999" customHeight="1" x14ac:dyDescent="0.25"/>
    <row r="1205" ht="20.149999999999999" customHeight="1" x14ac:dyDescent="0.25"/>
    <row r="1206" ht="20.149999999999999" customHeight="1" x14ac:dyDescent="0.25"/>
    <row r="1207" ht="20.149999999999999" customHeight="1" x14ac:dyDescent="0.25"/>
    <row r="1208" ht="20.149999999999999" customHeight="1" x14ac:dyDescent="0.25"/>
    <row r="1209" ht="20.149999999999999" customHeight="1" x14ac:dyDescent="0.25"/>
    <row r="1210" ht="20.149999999999999" customHeight="1" x14ac:dyDescent="0.25"/>
    <row r="1211" ht="20.149999999999999" customHeight="1" x14ac:dyDescent="0.25"/>
    <row r="1212" ht="20.149999999999999" customHeight="1" x14ac:dyDescent="0.25"/>
    <row r="1213" ht="20.149999999999999" customHeight="1" x14ac:dyDescent="0.25"/>
    <row r="1214" ht="20.149999999999999" customHeight="1" x14ac:dyDescent="0.25"/>
    <row r="1215" ht="20.149999999999999" customHeight="1" x14ac:dyDescent="0.25"/>
    <row r="1216" ht="20.149999999999999" customHeight="1" x14ac:dyDescent="0.25"/>
    <row r="1217" ht="20.149999999999999" customHeight="1" x14ac:dyDescent="0.25"/>
    <row r="1218" ht="20.149999999999999" customHeight="1" x14ac:dyDescent="0.25"/>
    <row r="1219" ht="20.149999999999999" customHeight="1" x14ac:dyDescent="0.25"/>
    <row r="1220" ht="20.149999999999999" customHeight="1" x14ac:dyDescent="0.25"/>
    <row r="1221" ht="20.149999999999999" customHeight="1" x14ac:dyDescent="0.25"/>
    <row r="1222" ht="20.149999999999999" customHeight="1" x14ac:dyDescent="0.25"/>
    <row r="1223" ht="20.149999999999999" customHeight="1" x14ac:dyDescent="0.25"/>
    <row r="1224" ht="20.149999999999999" customHeight="1" x14ac:dyDescent="0.25"/>
    <row r="1225" ht="20.149999999999999" customHeight="1" x14ac:dyDescent="0.25"/>
    <row r="1226" ht="20.149999999999999" customHeight="1" x14ac:dyDescent="0.25"/>
    <row r="1227" ht="20.149999999999999" customHeight="1" x14ac:dyDescent="0.25"/>
    <row r="1228" ht="20.149999999999999" customHeight="1" x14ac:dyDescent="0.25"/>
    <row r="1229" ht="20.149999999999999" customHeight="1" x14ac:dyDescent="0.25"/>
    <row r="1230" ht="20.149999999999999" customHeight="1" x14ac:dyDescent="0.25"/>
    <row r="1231" ht="20.149999999999999" customHeight="1" x14ac:dyDescent="0.25"/>
    <row r="1232" ht="20.149999999999999" customHeight="1" x14ac:dyDescent="0.25"/>
    <row r="1233" ht="20.149999999999999" customHeight="1" x14ac:dyDescent="0.25"/>
    <row r="1234" ht="20.149999999999999" customHeight="1" x14ac:dyDescent="0.25"/>
    <row r="1235" ht="20.149999999999999" customHeight="1" x14ac:dyDescent="0.25"/>
    <row r="1236" ht="20.149999999999999" customHeight="1" x14ac:dyDescent="0.25"/>
    <row r="1237" ht="20.149999999999999" customHeight="1" x14ac:dyDescent="0.25"/>
    <row r="1238" ht="20.149999999999999" customHeight="1" x14ac:dyDescent="0.25"/>
    <row r="1239" ht="20.149999999999999" customHeight="1" x14ac:dyDescent="0.25"/>
    <row r="1240" ht="20.149999999999999" customHeight="1" x14ac:dyDescent="0.25"/>
    <row r="1241" ht="20.149999999999999" customHeight="1" x14ac:dyDescent="0.25"/>
    <row r="1242" ht="20.149999999999999" customHeight="1" x14ac:dyDescent="0.25"/>
    <row r="1243" ht="20.149999999999999" customHeight="1" x14ac:dyDescent="0.25"/>
    <row r="1244" ht="20.149999999999999" customHeight="1" x14ac:dyDescent="0.25"/>
    <row r="1245" ht="20.149999999999999" customHeight="1" x14ac:dyDescent="0.25"/>
    <row r="1246" ht="20.149999999999999" customHeight="1" x14ac:dyDescent="0.25"/>
    <row r="1247" ht="20.149999999999999" customHeight="1" x14ac:dyDescent="0.25"/>
    <row r="1248" ht="20.149999999999999" customHeight="1" x14ac:dyDescent="0.25"/>
    <row r="1249" ht="20.149999999999999" customHeight="1" x14ac:dyDescent="0.25"/>
    <row r="1250" ht="20.149999999999999" customHeight="1" x14ac:dyDescent="0.25"/>
    <row r="1251" ht="20.149999999999999" customHeight="1" x14ac:dyDescent="0.25"/>
    <row r="1252" ht="20.149999999999999" customHeight="1" x14ac:dyDescent="0.25"/>
    <row r="1253" ht="20.149999999999999" customHeight="1" x14ac:dyDescent="0.25"/>
    <row r="1254" ht="20.149999999999999" customHeight="1" x14ac:dyDescent="0.25"/>
    <row r="1255" ht="20.149999999999999" customHeight="1" x14ac:dyDescent="0.25"/>
    <row r="1256" ht="20.149999999999999" customHeight="1" x14ac:dyDescent="0.25"/>
    <row r="1257" ht="20.149999999999999" customHeight="1" x14ac:dyDescent="0.25"/>
    <row r="1258" ht="20.149999999999999" customHeight="1" x14ac:dyDescent="0.25"/>
    <row r="1259" ht="20.149999999999999" customHeight="1" x14ac:dyDescent="0.25"/>
    <row r="1260" ht="20.149999999999999" customHeight="1" x14ac:dyDescent="0.25"/>
    <row r="1261" ht="20.149999999999999" customHeight="1" x14ac:dyDescent="0.25"/>
    <row r="1262" ht="20.149999999999999" customHeight="1" x14ac:dyDescent="0.25"/>
    <row r="1263" ht="20.149999999999999" customHeight="1" x14ac:dyDescent="0.25"/>
    <row r="1264" ht="20.149999999999999" customHeight="1" x14ac:dyDescent="0.25"/>
    <row r="1265" ht="20.149999999999999" customHeight="1" x14ac:dyDescent="0.25"/>
    <row r="1266" ht="20.149999999999999" customHeight="1" x14ac:dyDescent="0.25"/>
    <row r="1267" ht="20.149999999999999" customHeight="1" x14ac:dyDescent="0.25"/>
    <row r="1268" ht="20.149999999999999" customHeight="1" x14ac:dyDescent="0.25"/>
    <row r="1269" ht="20.149999999999999" customHeight="1" x14ac:dyDescent="0.25"/>
    <row r="1270" ht="20.149999999999999" customHeight="1" x14ac:dyDescent="0.25"/>
    <row r="1271" ht="20.149999999999999" customHeight="1" x14ac:dyDescent="0.25"/>
    <row r="1272" ht="20.149999999999999" customHeight="1" x14ac:dyDescent="0.25"/>
    <row r="1273" ht="20.149999999999999" customHeight="1" x14ac:dyDescent="0.25"/>
    <row r="1274" ht="20.149999999999999" customHeight="1" x14ac:dyDescent="0.25"/>
    <row r="1275" ht="20.149999999999999" customHeight="1" x14ac:dyDescent="0.25"/>
    <row r="1276" ht="20.149999999999999" customHeight="1" x14ac:dyDescent="0.25"/>
    <row r="1277" ht="20.149999999999999" customHeight="1" x14ac:dyDescent="0.25"/>
    <row r="1278" ht="20.149999999999999" customHeight="1" x14ac:dyDescent="0.25"/>
    <row r="1279" ht="20.149999999999999" customHeight="1" x14ac:dyDescent="0.25"/>
    <row r="1280" ht="20.149999999999999" customHeight="1" x14ac:dyDescent="0.25"/>
    <row r="1281" ht="20.149999999999999" customHeight="1" x14ac:dyDescent="0.25"/>
    <row r="1282" ht="20.149999999999999" customHeight="1" x14ac:dyDescent="0.25"/>
    <row r="1283" ht="20.149999999999999" customHeight="1" x14ac:dyDescent="0.25"/>
    <row r="1284" ht="20.149999999999999" customHeight="1" x14ac:dyDescent="0.25"/>
    <row r="1285" ht="20.149999999999999" customHeight="1" x14ac:dyDescent="0.25"/>
    <row r="1286" ht="20.149999999999999" customHeight="1" x14ac:dyDescent="0.25"/>
    <row r="1287" ht="20.149999999999999" customHeight="1" x14ac:dyDescent="0.25"/>
    <row r="1288" ht="20.149999999999999" customHeight="1" x14ac:dyDescent="0.25"/>
    <row r="1289" ht="20.149999999999999" customHeight="1" x14ac:dyDescent="0.25"/>
    <row r="1290" ht="20.149999999999999" customHeight="1" x14ac:dyDescent="0.25"/>
    <row r="1291" ht="20.149999999999999" customHeight="1" x14ac:dyDescent="0.25"/>
    <row r="1292" ht="20.149999999999999" customHeight="1" x14ac:dyDescent="0.25"/>
    <row r="1293" ht="20.149999999999999" customHeight="1" x14ac:dyDescent="0.25"/>
    <row r="1294" ht="20.149999999999999" customHeight="1" x14ac:dyDescent="0.25"/>
    <row r="1295" ht="20.149999999999999" customHeight="1" x14ac:dyDescent="0.25"/>
    <row r="1296" ht="20.149999999999999" customHeight="1" x14ac:dyDescent="0.25"/>
    <row r="1297" ht="20.149999999999999" customHeight="1" x14ac:dyDescent="0.25"/>
    <row r="1298" ht="20.149999999999999" customHeight="1" x14ac:dyDescent="0.25"/>
    <row r="1299" ht="20.149999999999999" customHeight="1" x14ac:dyDescent="0.25"/>
    <row r="1300" ht="20.149999999999999" customHeight="1" x14ac:dyDescent="0.25"/>
    <row r="1301" ht="20.149999999999999" customHeight="1" x14ac:dyDescent="0.25"/>
    <row r="1302" ht="20.149999999999999" customHeight="1" x14ac:dyDescent="0.25"/>
    <row r="1303" ht="20.149999999999999" customHeight="1" x14ac:dyDescent="0.25"/>
    <row r="1304" ht="20.149999999999999" customHeight="1" x14ac:dyDescent="0.25"/>
    <row r="1305" ht="20.149999999999999" customHeight="1" x14ac:dyDescent="0.25"/>
    <row r="1306" ht="20.149999999999999" customHeight="1" x14ac:dyDescent="0.25"/>
    <row r="1307" ht="20.149999999999999" customHeight="1" x14ac:dyDescent="0.25"/>
    <row r="1308" ht="20.149999999999999" customHeight="1" x14ac:dyDescent="0.25"/>
    <row r="1309" ht="20.149999999999999" customHeight="1" x14ac:dyDescent="0.25"/>
    <row r="1310" ht="20.149999999999999" customHeight="1" x14ac:dyDescent="0.25"/>
    <row r="1311" ht="20.149999999999999" customHeight="1" x14ac:dyDescent="0.25"/>
    <row r="1312" ht="20.149999999999999" customHeight="1" x14ac:dyDescent="0.25"/>
    <row r="1313" ht="20.149999999999999" customHeight="1" x14ac:dyDescent="0.25"/>
    <row r="1314" ht="20.149999999999999" customHeight="1" x14ac:dyDescent="0.25"/>
    <row r="1315" ht="20.149999999999999" customHeight="1" x14ac:dyDescent="0.25"/>
    <row r="1316" ht="20.149999999999999" customHeight="1" x14ac:dyDescent="0.25"/>
    <row r="1317" ht="20.149999999999999" customHeight="1" x14ac:dyDescent="0.25"/>
    <row r="1318" ht="20.149999999999999" customHeight="1" x14ac:dyDescent="0.25"/>
    <row r="1319" ht="20.149999999999999" customHeight="1" x14ac:dyDescent="0.25"/>
    <row r="1320" ht="20.149999999999999" customHeight="1" x14ac:dyDescent="0.25"/>
    <row r="1321" ht="20.149999999999999" customHeight="1" x14ac:dyDescent="0.25"/>
    <row r="1322" ht="20.149999999999999" customHeight="1" x14ac:dyDescent="0.25"/>
    <row r="1323" ht="20.149999999999999" customHeight="1" x14ac:dyDescent="0.25"/>
    <row r="1324" ht="20.149999999999999" customHeight="1" x14ac:dyDescent="0.25"/>
    <row r="1325" ht="20.149999999999999" customHeight="1" x14ac:dyDescent="0.25"/>
    <row r="1326" ht="20.149999999999999" customHeight="1" x14ac:dyDescent="0.25"/>
    <row r="1327" ht="20.149999999999999" customHeight="1" x14ac:dyDescent="0.25"/>
    <row r="1328" ht="20.149999999999999" customHeight="1" x14ac:dyDescent="0.25"/>
    <row r="1329" ht="20.149999999999999" customHeight="1" x14ac:dyDescent="0.25"/>
    <row r="1330" ht="20.149999999999999" customHeight="1" x14ac:dyDescent="0.25"/>
    <row r="1331" ht="20.149999999999999" customHeight="1" x14ac:dyDescent="0.25"/>
    <row r="1332" ht="20.149999999999999" customHeight="1" x14ac:dyDescent="0.25"/>
    <row r="1333" ht="20.149999999999999" customHeight="1" x14ac:dyDescent="0.25"/>
    <row r="1334" ht="20.149999999999999" customHeight="1" x14ac:dyDescent="0.25"/>
    <row r="1335" ht="20.149999999999999" customHeight="1" x14ac:dyDescent="0.25"/>
    <row r="1336" ht="20.149999999999999" customHeight="1" x14ac:dyDescent="0.25"/>
    <row r="1337" ht="20.149999999999999" customHeight="1" x14ac:dyDescent="0.25"/>
    <row r="1338" ht="20.149999999999999" customHeight="1" x14ac:dyDescent="0.25"/>
    <row r="1339" ht="20.149999999999999" customHeight="1" x14ac:dyDescent="0.25"/>
    <row r="1340" ht="20.149999999999999" customHeight="1" x14ac:dyDescent="0.25"/>
    <row r="1341" ht="20.149999999999999" customHeight="1" x14ac:dyDescent="0.25"/>
    <row r="1342" ht="20.149999999999999" customHeight="1" x14ac:dyDescent="0.25"/>
    <row r="1343" ht="20.149999999999999" customHeight="1" x14ac:dyDescent="0.25"/>
    <row r="1344" ht="20.149999999999999" customHeight="1" x14ac:dyDescent="0.25"/>
    <row r="1345" ht="20.149999999999999" customHeight="1" x14ac:dyDescent="0.25"/>
    <row r="1346" ht="20.149999999999999" customHeight="1" x14ac:dyDescent="0.25"/>
    <row r="1347" ht="20.149999999999999" customHeight="1" x14ac:dyDescent="0.25"/>
    <row r="1348" ht="20.149999999999999" customHeight="1" x14ac:dyDescent="0.25"/>
    <row r="1349" ht="20.149999999999999" customHeight="1" x14ac:dyDescent="0.25"/>
    <row r="1350" ht="20.149999999999999" customHeight="1" x14ac:dyDescent="0.25"/>
    <row r="1351" ht="20.149999999999999" customHeight="1" x14ac:dyDescent="0.25"/>
    <row r="1352" ht="20.149999999999999" customHeight="1" x14ac:dyDescent="0.25"/>
    <row r="1353" ht="20.149999999999999" customHeight="1" x14ac:dyDescent="0.25"/>
    <row r="1354" ht="20.149999999999999" customHeight="1" x14ac:dyDescent="0.25"/>
    <row r="1355" ht="20.149999999999999" customHeight="1" x14ac:dyDescent="0.25"/>
    <row r="1356" ht="20.149999999999999" customHeight="1" x14ac:dyDescent="0.25"/>
    <row r="1357" ht="20.149999999999999" customHeight="1" x14ac:dyDescent="0.25"/>
    <row r="1358" ht="20.149999999999999" customHeight="1" x14ac:dyDescent="0.25"/>
    <row r="1359" ht="20.149999999999999" customHeight="1" x14ac:dyDescent="0.25"/>
    <row r="1360" ht="20.149999999999999" customHeight="1" x14ac:dyDescent="0.25"/>
    <row r="1361" ht="20.149999999999999" customHeight="1" x14ac:dyDescent="0.25"/>
    <row r="1362" ht="20.149999999999999" customHeight="1" x14ac:dyDescent="0.25"/>
    <row r="1363" ht="20.149999999999999" customHeight="1" x14ac:dyDescent="0.25"/>
    <row r="1364" ht="20.149999999999999" customHeight="1" x14ac:dyDescent="0.25"/>
    <row r="1365" ht="20.149999999999999" customHeight="1" x14ac:dyDescent="0.25"/>
    <row r="1366" ht="20.149999999999999" customHeight="1" x14ac:dyDescent="0.25"/>
    <row r="1367" ht="20.149999999999999" customHeight="1" x14ac:dyDescent="0.25"/>
    <row r="1368" ht="20.149999999999999" customHeight="1" x14ac:dyDescent="0.25"/>
    <row r="1369" ht="20.149999999999999" customHeight="1" x14ac:dyDescent="0.25"/>
    <row r="1370" ht="20.149999999999999" customHeight="1" x14ac:dyDescent="0.25"/>
    <row r="1371" ht="20.149999999999999" customHeight="1" x14ac:dyDescent="0.25"/>
    <row r="1372" ht="20.149999999999999" customHeight="1" x14ac:dyDescent="0.25"/>
    <row r="1373" ht="20.149999999999999" customHeight="1" x14ac:dyDescent="0.25"/>
    <row r="1374" ht="20.149999999999999" customHeight="1" x14ac:dyDescent="0.25"/>
    <row r="1375" ht="20.149999999999999" customHeight="1" x14ac:dyDescent="0.25"/>
    <row r="1376" ht="20.149999999999999" customHeight="1" x14ac:dyDescent="0.25"/>
    <row r="1377" ht="20.149999999999999" customHeight="1" x14ac:dyDescent="0.25"/>
    <row r="1378" ht="20.149999999999999" customHeight="1" x14ac:dyDescent="0.25"/>
    <row r="1379" ht="20.149999999999999" customHeight="1" x14ac:dyDescent="0.25"/>
    <row r="1380" ht="20.149999999999999" customHeight="1" x14ac:dyDescent="0.25"/>
    <row r="1381" ht="20.149999999999999" customHeight="1" x14ac:dyDescent="0.25"/>
    <row r="1382" ht="20.149999999999999" customHeight="1" x14ac:dyDescent="0.25"/>
    <row r="1383" ht="20.149999999999999" customHeight="1" x14ac:dyDescent="0.25"/>
    <row r="1384" ht="20.149999999999999" customHeight="1" x14ac:dyDescent="0.25"/>
    <row r="1385" ht="20.149999999999999" customHeight="1" x14ac:dyDescent="0.25"/>
    <row r="1386" ht="20.149999999999999" customHeight="1" x14ac:dyDescent="0.25"/>
    <row r="1387" ht="20.149999999999999" customHeight="1" x14ac:dyDescent="0.25"/>
    <row r="1388" ht="20.149999999999999" customHeight="1" x14ac:dyDescent="0.25"/>
    <row r="1389" ht="20.149999999999999" customHeight="1" x14ac:dyDescent="0.25"/>
    <row r="1390" ht="20.149999999999999" customHeight="1" x14ac:dyDescent="0.25"/>
    <row r="1391" ht="20.149999999999999" customHeight="1" x14ac:dyDescent="0.25"/>
    <row r="1392" ht="20.149999999999999" customHeight="1" x14ac:dyDescent="0.25"/>
    <row r="1393" ht="20.149999999999999" customHeight="1" x14ac:dyDescent="0.25"/>
    <row r="1394" ht="20.149999999999999" customHeight="1" x14ac:dyDescent="0.25"/>
    <row r="1395" ht="20.149999999999999" customHeight="1" x14ac:dyDescent="0.25"/>
    <row r="1396" ht="20.149999999999999" customHeight="1" x14ac:dyDescent="0.25"/>
    <row r="1397" ht="20.149999999999999" customHeight="1" x14ac:dyDescent="0.25"/>
    <row r="1398" ht="20.149999999999999" customHeight="1" x14ac:dyDescent="0.25"/>
    <row r="1399" ht="20.149999999999999" customHeight="1" x14ac:dyDescent="0.25"/>
    <row r="1400" ht="20.149999999999999" customHeight="1" x14ac:dyDescent="0.25"/>
    <row r="1401" ht="20.149999999999999" customHeight="1" x14ac:dyDescent="0.25"/>
    <row r="1402" ht="20.149999999999999" customHeight="1" x14ac:dyDescent="0.25"/>
    <row r="1403" ht="20.149999999999999" customHeight="1" x14ac:dyDescent="0.25"/>
    <row r="1404" ht="20.149999999999999" customHeight="1" x14ac:dyDescent="0.25"/>
    <row r="1405" ht="20.149999999999999" customHeight="1" x14ac:dyDescent="0.25"/>
    <row r="1406" ht="20.149999999999999" customHeight="1" x14ac:dyDescent="0.25"/>
    <row r="1407" ht="20.149999999999999" customHeight="1" x14ac:dyDescent="0.25"/>
    <row r="1408" ht="20.149999999999999" customHeight="1" x14ac:dyDescent="0.25"/>
    <row r="1409" ht="20.149999999999999" customHeight="1" x14ac:dyDescent="0.25"/>
    <row r="1410" ht="20.149999999999999" customHeight="1" x14ac:dyDescent="0.25"/>
    <row r="1411" ht="20.149999999999999" customHeight="1" x14ac:dyDescent="0.25"/>
    <row r="1412" ht="20.149999999999999" customHeight="1" x14ac:dyDescent="0.25"/>
    <row r="1413" ht="20.149999999999999" customHeight="1" x14ac:dyDescent="0.25"/>
    <row r="1414" ht="20.149999999999999" customHeight="1" x14ac:dyDescent="0.25"/>
    <row r="1415" ht="20.149999999999999" customHeight="1" x14ac:dyDescent="0.25"/>
    <row r="1416" ht="20.149999999999999" customHeight="1" x14ac:dyDescent="0.25"/>
    <row r="1417" ht="20.149999999999999" customHeight="1" x14ac:dyDescent="0.25"/>
    <row r="1418" ht="20.149999999999999" customHeight="1" x14ac:dyDescent="0.25"/>
    <row r="1419" ht="20.149999999999999" customHeight="1" x14ac:dyDescent="0.25"/>
    <row r="1420" ht="20.149999999999999" customHeight="1" x14ac:dyDescent="0.25"/>
    <row r="1421" ht="20.149999999999999" customHeight="1" x14ac:dyDescent="0.25"/>
    <row r="1422" ht="20.149999999999999" customHeight="1" x14ac:dyDescent="0.25"/>
    <row r="1423" ht="20.149999999999999" customHeight="1" x14ac:dyDescent="0.25"/>
    <row r="1424" ht="20.149999999999999" customHeight="1" x14ac:dyDescent="0.25"/>
    <row r="1425" ht="20.149999999999999" customHeight="1" x14ac:dyDescent="0.25"/>
    <row r="1426" ht="20.149999999999999" customHeight="1" x14ac:dyDescent="0.25"/>
    <row r="1427" ht="20.149999999999999" customHeight="1" x14ac:dyDescent="0.25"/>
    <row r="1428" ht="20.149999999999999" customHeight="1" x14ac:dyDescent="0.25"/>
    <row r="1429" ht="20.149999999999999" customHeight="1" x14ac:dyDescent="0.25"/>
    <row r="1430" ht="20.149999999999999" customHeight="1" x14ac:dyDescent="0.25"/>
    <row r="1431" ht="20.149999999999999" customHeight="1" x14ac:dyDescent="0.25"/>
    <row r="1432" ht="20.149999999999999" customHeight="1" x14ac:dyDescent="0.25"/>
    <row r="1433" ht="20.149999999999999" customHeight="1" x14ac:dyDescent="0.25"/>
    <row r="1434" ht="20.149999999999999" customHeight="1" x14ac:dyDescent="0.25"/>
    <row r="1435" ht="20.149999999999999" customHeight="1" x14ac:dyDescent="0.25"/>
    <row r="1436" ht="20.149999999999999" customHeight="1" x14ac:dyDescent="0.25"/>
    <row r="1437" ht="20.149999999999999" customHeight="1" x14ac:dyDescent="0.25"/>
    <row r="1438" ht="20.149999999999999" customHeight="1" x14ac:dyDescent="0.25"/>
    <row r="1439" ht="20.149999999999999" customHeight="1" x14ac:dyDescent="0.25"/>
    <row r="1440" ht="20.149999999999999" customHeight="1" x14ac:dyDescent="0.25"/>
    <row r="1441" ht="20.149999999999999" customHeight="1" x14ac:dyDescent="0.25"/>
    <row r="1442" ht="20.149999999999999" customHeight="1" x14ac:dyDescent="0.25"/>
    <row r="1443" ht="20.149999999999999" customHeight="1" x14ac:dyDescent="0.25"/>
    <row r="1444" ht="20.149999999999999" customHeight="1" x14ac:dyDescent="0.25"/>
    <row r="1445" ht="20.149999999999999" customHeight="1" x14ac:dyDescent="0.25"/>
    <row r="1446" ht="20.149999999999999" customHeight="1" x14ac:dyDescent="0.25"/>
    <row r="1447" ht="20.149999999999999" customHeight="1" x14ac:dyDescent="0.25"/>
    <row r="1448" ht="20.149999999999999" customHeight="1" x14ac:dyDescent="0.25"/>
    <row r="1449" ht="20.149999999999999" customHeight="1" x14ac:dyDescent="0.25"/>
    <row r="1450" ht="20.149999999999999" customHeight="1" x14ac:dyDescent="0.25"/>
    <row r="1451" ht="20.149999999999999" customHeight="1" x14ac:dyDescent="0.25"/>
    <row r="1452" ht="20.149999999999999" customHeight="1" x14ac:dyDescent="0.25"/>
    <row r="1453" ht="20.149999999999999" customHeight="1" x14ac:dyDescent="0.25"/>
    <row r="1454" ht="20.149999999999999" customHeight="1" x14ac:dyDescent="0.25"/>
    <row r="1455" ht="20.149999999999999" customHeight="1" x14ac:dyDescent="0.25"/>
    <row r="1456" ht="20.149999999999999" customHeight="1" x14ac:dyDescent="0.25"/>
    <row r="1457" ht="20.149999999999999" customHeight="1" x14ac:dyDescent="0.25"/>
    <row r="1458" ht="20.149999999999999" customHeight="1" x14ac:dyDescent="0.25"/>
    <row r="1459" ht="20.149999999999999" customHeight="1" x14ac:dyDescent="0.25"/>
    <row r="1460" ht="20.149999999999999" customHeight="1" x14ac:dyDescent="0.25"/>
    <row r="1461" ht="20.149999999999999" customHeight="1" x14ac:dyDescent="0.25"/>
    <row r="1462" ht="20.149999999999999" customHeight="1" x14ac:dyDescent="0.25"/>
    <row r="1463" ht="20.149999999999999" customHeight="1" x14ac:dyDescent="0.25"/>
    <row r="1464" ht="20.149999999999999" customHeight="1" x14ac:dyDescent="0.25"/>
    <row r="1465" ht="20.149999999999999" customHeight="1" x14ac:dyDescent="0.25"/>
    <row r="1466" ht="20.149999999999999" customHeight="1" x14ac:dyDescent="0.25"/>
    <row r="1467" ht="20.149999999999999" customHeight="1" x14ac:dyDescent="0.25"/>
    <row r="1468" ht="20.149999999999999" customHeight="1" x14ac:dyDescent="0.25"/>
    <row r="1469" ht="20.149999999999999" customHeight="1" x14ac:dyDescent="0.25"/>
    <row r="1470" ht="20.149999999999999" customHeight="1" x14ac:dyDescent="0.25"/>
    <row r="1471" ht="20.149999999999999" customHeight="1" x14ac:dyDescent="0.25"/>
    <row r="1472" ht="20.149999999999999" customHeight="1" x14ac:dyDescent="0.25"/>
    <row r="1473" ht="20.149999999999999" customHeight="1" x14ac:dyDescent="0.25"/>
    <row r="1474" ht="20.149999999999999" customHeight="1" x14ac:dyDescent="0.25"/>
    <row r="1475" ht="20.149999999999999" customHeight="1" x14ac:dyDescent="0.25"/>
    <row r="1476" ht="20.149999999999999" customHeight="1" x14ac:dyDescent="0.25"/>
    <row r="1477" ht="20.149999999999999" customHeight="1" x14ac:dyDescent="0.25"/>
    <row r="1478" ht="20.149999999999999" customHeight="1" x14ac:dyDescent="0.25"/>
    <row r="1479" ht="20.149999999999999" customHeight="1" x14ac:dyDescent="0.25"/>
    <row r="1480" ht="20.149999999999999" customHeight="1" x14ac:dyDescent="0.25"/>
    <row r="1481" ht="20.149999999999999" customHeight="1" x14ac:dyDescent="0.25"/>
    <row r="1482" ht="20.149999999999999" customHeight="1" x14ac:dyDescent="0.25"/>
    <row r="1483" ht="20.149999999999999" customHeight="1" x14ac:dyDescent="0.25"/>
    <row r="1484" ht="20.149999999999999" customHeight="1" x14ac:dyDescent="0.25"/>
    <row r="1485" ht="20.149999999999999" customHeight="1" x14ac:dyDescent="0.25"/>
    <row r="1486" ht="20.149999999999999" customHeight="1" x14ac:dyDescent="0.25"/>
    <row r="1487" ht="20.149999999999999" customHeight="1" x14ac:dyDescent="0.25"/>
    <row r="1488" ht="20.149999999999999" customHeight="1" x14ac:dyDescent="0.25"/>
    <row r="1489" ht="20.149999999999999" customHeight="1" x14ac:dyDescent="0.25"/>
    <row r="1490" ht="20.149999999999999" customHeight="1" x14ac:dyDescent="0.25"/>
    <row r="1491" ht="20.149999999999999" customHeight="1" x14ac:dyDescent="0.25"/>
    <row r="1492" ht="20.149999999999999" customHeight="1" x14ac:dyDescent="0.25"/>
    <row r="1493" ht="20.149999999999999" customHeight="1" x14ac:dyDescent="0.25"/>
    <row r="1494" ht="20.149999999999999" customHeight="1" x14ac:dyDescent="0.25"/>
    <row r="1495" ht="20.149999999999999" customHeight="1" x14ac:dyDescent="0.25"/>
    <row r="1496" ht="20.149999999999999" customHeight="1" x14ac:dyDescent="0.25"/>
    <row r="1497" ht="20.149999999999999" customHeight="1" x14ac:dyDescent="0.25"/>
    <row r="1498" ht="20.149999999999999" customHeight="1" x14ac:dyDescent="0.25"/>
    <row r="1499" ht="20.149999999999999" customHeight="1" x14ac:dyDescent="0.25"/>
    <row r="1500" ht="20.149999999999999" customHeight="1" x14ac:dyDescent="0.25"/>
    <row r="1501" ht="20.149999999999999" customHeight="1" x14ac:dyDescent="0.25"/>
    <row r="1502" ht="20.149999999999999" customHeight="1" x14ac:dyDescent="0.25"/>
    <row r="1503" ht="20.149999999999999" customHeight="1" x14ac:dyDescent="0.25"/>
    <row r="1504" ht="20.149999999999999" customHeight="1" x14ac:dyDescent="0.25"/>
    <row r="1505" ht="20.149999999999999" customHeight="1" x14ac:dyDescent="0.25"/>
    <row r="1506" ht="20.149999999999999" customHeight="1" x14ac:dyDescent="0.25"/>
    <row r="1507" ht="20.149999999999999" customHeight="1" x14ac:dyDescent="0.25"/>
    <row r="1508" ht="20.149999999999999" customHeight="1" x14ac:dyDescent="0.25"/>
    <row r="1509" ht="20.149999999999999" customHeight="1" x14ac:dyDescent="0.25"/>
    <row r="1510" ht="20.149999999999999" customHeight="1" x14ac:dyDescent="0.25"/>
    <row r="1511" ht="20.149999999999999" customHeight="1" x14ac:dyDescent="0.25"/>
    <row r="1512" ht="20.149999999999999" customHeight="1" x14ac:dyDescent="0.25"/>
    <row r="1513" ht="20.149999999999999" customHeight="1" x14ac:dyDescent="0.25"/>
    <row r="1514" ht="20.149999999999999" customHeight="1" x14ac:dyDescent="0.25"/>
    <row r="1515" ht="20.149999999999999" customHeight="1" x14ac:dyDescent="0.25"/>
    <row r="1516" ht="20.149999999999999" customHeight="1" x14ac:dyDescent="0.25"/>
    <row r="1517" ht="20.149999999999999" customHeight="1" x14ac:dyDescent="0.25"/>
    <row r="1518" ht="20.149999999999999" customHeight="1" x14ac:dyDescent="0.25"/>
    <row r="1519" ht="20.149999999999999" customHeight="1" x14ac:dyDescent="0.25"/>
    <row r="1520" ht="20.149999999999999" customHeight="1" x14ac:dyDescent="0.25"/>
    <row r="1521" ht="20.149999999999999" customHeight="1" x14ac:dyDescent="0.25"/>
    <row r="1522" ht="20.149999999999999" customHeight="1" x14ac:dyDescent="0.25"/>
    <row r="1523" ht="20.149999999999999" customHeight="1" x14ac:dyDescent="0.25"/>
    <row r="1524" ht="20.149999999999999" customHeight="1" x14ac:dyDescent="0.25"/>
    <row r="1525" ht="20.149999999999999" customHeight="1" x14ac:dyDescent="0.25"/>
    <row r="1526" ht="20.149999999999999" customHeight="1" x14ac:dyDescent="0.25"/>
    <row r="1527" ht="20.149999999999999" customHeight="1" x14ac:dyDescent="0.25"/>
    <row r="1528" ht="20.149999999999999" customHeight="1" x14ac:dyDescent="0.25"/>
    <row r="1529" ht="20.149999999999999" customHeight="1" x14ac:dyDescent="0.25"/>
    <row r="1530" ht="20.149999999999999" customHeight="1" x14ac:dyDescent="0.25"/>
    <row r="1531" ht="20.149999999999999" customHeight="1" x14ac:dyDescent="0.25"/>
    <row r="1532" ht="20.149999999999999" customHeight="1" x14ac:dyDescent="0.25"/>
    <row r="1533" ht="20.149999999999999" customHeight="1" x14ac:dyDescent="0.25"/>
    <row r="1534" ht="20.149999999999999" customHeight="1" x14ac:dyDescent="0.25"/>
    <row r="1535" ht="20.149999999999999" customHeight="1" x14ac:dyDescent="0.25"/>
    <row r="1536" ht="20.149999999999999" customHeight="1" x14ac:dyDescent="0.25"/>
    <row r="1537" ht="20.149999999999999" customHeight="1" x14ac:dyDescent="0.25"/>
    <row r="1538" ht="20.149999999999999" customHeight="1" x14ac:dyDescent="0.25"/>
    <row r="1539" ht="20.149999999999999" customHeight="1" x14ac:dyDescent="0.25"/>
    <row r="1540" ht="20.149999999999999" customHeight="1" x14ac:dyDescent="0.25"/>
    <row r="1541" ht="20.149999999999999" customHeight="1" x14ac:dyDescent="0.25"/>
    <row r="1542" ht="20.149999999999999" customHeight="1" x14ac:dyDescent="0.25"/>
    <row r="1543" ht="20.149999999999999" customHeight="1" x14ac:dyDescent="0.25"/>
    <row r="1544" ht="20.149999999999999" customHeight="1" x14ac:dyDescent="0.25"/>
    <row r="1545" ht="20.149999999999999" customHeight="1" x14ac:dyDescent="0.25"/>
    <row r="1546" ht="20.149999999999999" customHeight="1" x14ac:dyDescent="0.25"/>
    <row r="1547" ht="20.149999999999999" customHeight="1" x14ac:dyDescent="0.25"/>
    <row r="1548" ht="20.149999999999999" customHeight="1" x14ac:dyDescent="0.25"/>
    <row r="1549" ht="20.149999999999999" customHeight="1" x14ac:dyDescent="0.25"/>
    <row r="1550" ht="20.149999999999999" customHeight="1" x14ac:dyDescent="0.25"/>
    <row r="1551" ht="20.149999999999999" customHeight="1" x14ac:dyDescent="0.25"/>
    <row r="1552" ht="20.149999999999999" customHeight="1" x14ac:dyDescent="0.25"/>
    <row r="1553" ht="20.149999999999999" customHeight="1" x14ac:dyDescent="0.25"/>
    <row r="1554" ht="20.149999999999999" customHeight="1" x14ac:dyDescent="0.25"/>
    <row r="1555" ht="20.149999999999999" customHeight="1" x14ac:dyDescent="0.25"/>
    <row r="1556" ht="20.149999999999999" customHeight="1" x14ac:dyDescent="0.25"/>
    <row r="1557" ht="20.149999999999999" customHeight="1" x14ac:dyDescent="0.25"/>
    <row r="1558" ht="20.149999999999999" customHeight="1" x14ac:dyDescent="0.25"/>
    <row r="1559" ht="20.149999999999999" customHeight="1" x14ac:dyDescent="0.25"/>
    <row r="1560" ht="20.149999999999999" customHeight="1" x14ac:dyDescent="0.25"/>
    <row r="1561" ht="20.149999999999999" customHeight="1" x14ac:dyDescent="0.25"/>
    <row r="1562" ht="20.149999999999999" customHeight="1" x14ac:dyDescent="0.25"/>
    <row r="1563" ht="20.149999999999999" customHeight="1" x14ac:dyDescent="0.25"/>
    <row r="1564" ht="20.149999999999999" customHeight="1" x14ac:dyDescent="0.25"/>
    <row r="1565" ht="20.149999999999999" customHeight="1" x14ac:dyDescent="0.25"/>
    <row r="1566" ht="20.149999999999999" customHeight="1" x14ac:dyDescent="0.25"/>
    <row r="1567" ht="20.149999999999999" customHeight="1" x14ac:dyDescent="0.25"/>
    <row r="1568" ht="20.149999999999999" customHeight="1" x14ac:dyDescent="0.25"/>
    <row r="1569" ht="20.149999999999999" customHeight="1" x14ac:dyDescent="0.25"/>
    <row r="1570" ht="20.149999999999999" customHeight="1" x14ac:dyDescent="0.25"/>
    <row r="1571" ht="20.149999999999999" customHeight="1" x14ac:dyDescent="0.25"/>
    <row r="1572" ht="20.149999999999999" customHeight="1" x14ac:dyDescent="0.25"/>
    <row r="1573" ht="20.149999999999999" customHeight="1" x14ac:dyDescent="0.25"/>
    <row r="1574" ht="20.149999999999999" customHeight="1" x14ac:dyDescent="0.25"/>
    <row r="1575" ht="20.149999999999999" customHeight="1" x14ac:dyDescent="0.25"/>
    <row r="1576" ht="20.149999999999999" customHeight="1" x14ac:dyDescent="0.25"/>
    <row r="1577" ht="20.149999999999999" customHeight="1" x14ac:dyDescent="0.25"/>
    <row r="1578" ht="20.149999999999999" customHeight="1" x14ac:dyDescent="0.25"/>
    <row r="1579" ht="20.149999999999999" customHeight="1" x14ac:dyDescent="0.25"/>
    <row r="1580" ht="20.149999999999999" customHeight="1" x14ac:dyDescent="0.25"/>
    <row r="1581" ht="20.149999999999999" customHeight="1" x14ac:dyDescent="0.25"/>
    <row r="1582" ht="20.149999999999999" customHeight="1" x14ac:dyDescent="0.25"/>
    <row r="1583" ht="20.149999999999999" customHeight="1" x14ac:dyDescent="0.25"/>
    <row r="1584" ht="20.149999999999999" customHeight="1" x14ac:dyDescent="0.25"/>
    <row r="1585" ht="20.149999999999999" customHeight="1" x14ac:dyDescent="0.25"/>
    <row r="1586" ht="20.149999999999999" customHeight="1" x14ac:dyDescent="0.25"/>
    <row r="1587" ht="20.149999999999999" customHeight="1" x14ac:dyDescent="0.25"/>
    <row r="1588" ht="20.149999999999999" customHeight="1" x14ac:dyDescent="0.25"/>
    <row r="1589" ht="20.149999999999999" customHeight="1" x14ac:dyDescent="0.25"/>
    <row r="1590" ht="20.149999999999999" customHeight="1" x14ac:dyDescent="0.25"/>
    <row r="1591" ht="20.149999999999999" customHeight="1" x14ac:dyDescent="0.25"/>
    <row r="1592" ht="20.149999999999999" customHeight="1" x14ac:dyDescent="0.25"/>
    <row r="1593" ht="20.149999999999999" customHeight="1" x14ac:dyDescent="0.25"/>
    <row r="1594" ht="20.149999999999999" customHeight="1" x14ac:dyDescent="0.25"/>
    <row r="1595" ht="20.149999999999999" customHeight="1" x14ac:dyDescent="0.25"/>
    <row r="1596" ht="20.149999999999999" customHeight="1" x14ac:dyDescent="0.25"/>
    <row r="1597" ht="20.149999999999999" customHeight="1" x14ac:dyDescent="0.25"/>
    <row r="1598" ht="20.149999999999999" customHeight="1" x14ac:dyDescent="0.25"/>
    <row r="1599" ht="20.149999999999999" customHeight="1" x14ac:dyDescent="0.25"/>
    <row r="1600" ht="20.149999999999999" customHeight="1" x14ac:dyDescent="0.25"/>
    <row r="1601" ht="20.149999999999999" customHeight="1" x14ac:dyDescent="0.25"/>
    <row r="1602" ht="20.149999999999999" customHeight="1" x14ac:dyDescent="0.25"/>
    <row r="1603" ht="20.149999999999999" customHeight="1" x14ac:dyDescent="0.25"/>
    <row r="1604" ht="20.149999999999999" customHeight="1" x14ac:dyDescent="0.25"/>
    <row r="1605" ht="20.149999999999999" customHeight="1" x14ac:dyDescent="0.25"/>
    <row r="1606" ht="20.149999999999999" customHeight="1" x14ac:dyDescent="0.25"/>
    <row r="1607" ht="20.149999999999999" customHeight="1" x14ac:dyDescent="0.25"/>
    <row r="1608" ht="20.149999999999999" customHeight="1" x14ac:dyDescent="0.25"/>
    <row r="1609" ht="20.149999999999999" customHeight="1" x14ac:dyDescent="0.25"/>
    <row r="1610" ht="20.149999999999999" customHeight="1" x14ac:dyDescent="0.25"/>
    <row r="1611" ht="20.149999999999999" customHeight="1" x14ac:dyDescent="0.25"/>
    <row r="1612" ht="20.149999999999999" customHeight="1" x14ac:dyDescent="0.25"/>
    <row r="1613" ht="20.149999999999999" customHeight="1" x14ac:dyDescent="0.25"/>
    <row r="1614" ht="20.149999999999999" customHeight="1" x14ac:dyDescent="0.25"/>
    <row r="1615" ht="20.149999999999999" customHeight="1" x14ac:dyDescent="0.25"/>
    <row r="1616" ht="20.149999999999999" customHeight="1" x14ac:dyDescent="0.25"/>
    <row r="1617" ht="20.149999999999999" customHeight="1" x14ac:dyDescent="0.25"/>
    <row r="1618" ht="20.149999999999999" customHeight="1" x14ac:dyDescent="0.25"/>
    <row r="1619" ht="20.149999999999999" customHeight="1" x14ac:dyDescent="0.25"/>
    <row r="1620" ht="20.149999999999999" customHeight="1" x14ac:dyDescent="0.25"/>
    <row r="1621" ht="20.149999999999999" customHeight="1" x14ac:dyDescent="0.25"/>
    <row r="1622" ht="20.149999999999999" customHeight="1" x14ac:dyDescent="0.25"/>
    <row r="1623" ht="20.149999999999999" customHeight="1" x14ac:dyDescent="0.25"/>
    <row r="1624" ht="20.149999999999999" customHeight="1" x14ac:dyDescent="0.25"/>
    <row r="1625" ht="20.149999999999999" customHeight="1" x14ac:dyDescent="0.25"/>
    <row r="1626" ht="20.149999999999999" customHeight="1" x14ac:dyDescent="0.25"/>
    <row r="1627" ht="20.149999999999999" customHeight="1" x14ac:dyDescent="0.25"/>
    <row r="1628" ht="20.149999999999999" customHeight="1" x14ac:dyDescent="0.25"/>
    <row r="1629" ht="20.149999999999999" customHeight="1" x14ac:dyDescent="0.25"/>
    <row r="1630" ht="20.149999999999999" customHeight="1" x14ac:dyDescent="0.25"/>
    <row r="1631" ht="20.149999999999999" customHeight="1" x14ac:dyDescent="0.25"/>
    <row r="1632" ht="20.149999999999999" customHeight="1" x14ac:dyDescent="0.25"/>
    <row r="1633" ht="20.149999999999999" customHeight="1" x14ac:dyDescent="0.25"/>
    <row r="1634" ht="20.149999999999999" customHeight="1" x14ac:dyDescent="0.25"/>
    <row r="1635" ht="20.149999999999999" customHeight="1" x14ac:dyDescent="0.25"/>
    <row r="1636" ht="20.149999999999999" customHeight="1" x14ac:dyDescent="0.25"/>
    <row r="1637" ht="20.149999999999999" customHeight="1" x14ac:dyDescent="0.25"/>
    <row r="1638" ht="20.149999999999999" customHeight="1" x14ac:dyDescent="0.25"/>
    <row r="1639" ht="20.149999999999999" customHeight="1" x14ac:dyDescent="0.25"/>
    <row r="1640" ht="20.149999999999999" customHeight="1" x14ac:dyDescent="0.25"/>
    <row r="1641" ht="20.149999999999999" customHeight="1" x14ac:dyDescent="0.25"/>
    <row r="1642" ht="20.149999999999999" customHeight="1" x14ac:dyDescent="0.25"/>
    <row r="1643" ht="20.149999999999999" customHeight="1" x14ac:dyDescent="0.25"/>
    <row r="1644" ht="20.149999999999999" customHeight="1" x14ac:dyDescent="0.25"/>
    <row r="1645" ht="20.149999999999999" customHeight="1" x14ac:dyDescent="0.25"/>
    <row r="1646" ht="20.149999999999999" customHeight="1" x14ac:dyDescent="0.25"/>
    <row r="1647" ht="20.149999999999999" customHeight="1" x14ac:dyDescent="0.25"/>
    <row r="1648" ht="20.149999999999999" customHeight="1" x14ac:dyDescent="0.25"/>
    <row r="1649" ht="20.149999999999999" customHeight="1" x14ac:dyDescent="0.25"/>
    <row r="1650" ht="20.149999999999999" customHeight="1" x14ac:dyDescent="0.25"/>
    <row r="1651" ht="20.149999999999999" customHeight="1" x14ac:dyDescent="0.25"/>
    <row r="1652" ht="20.149999999999999" customHeight="1" x14ac:dyDescent="0.25"/>
    <row r="1653" ht="20.149999999999999" customHeight="1" x14ac:dyDescent="0.25"/>
    <row r="1654" ht="20.149999999999999" customHeight="1" x14ac:dyDescent="0.25"/>
    <row r="1655" ht="20.149999999999999" customHeight="1" x14ac:dyDescent="0.25"/>
    <row r="1656" ht="20.149999999999999" customHeight="1" x14ac:dyDescent="0.25"/>
    <row r="1657" ht="20.149999999999999" customHeight="1" x14ac:dyDescent="0.25"/>
    <row r="1658" ht="20.149999999999999" customHeight="1" x14ac:dyDescent="0.25"/>
    <row r="1659" ht="20.149999999999999" customHeight="1" x14ac:dyDescent="0.25"/>
    <row r="1660" ht="20.149999999999999" customHeight="1" x14ac:dyDescent="0.25"/>
    <row r="1661" ht="20.149999999999999" customHeight="1" x14ac:dyDescent="0.25"/>
    <row r="1662" ht="20.149999999999999" customHeight="1" x14ac:dyDescent="0.25"/>
    <row r="1663" ht="20.149999999999999" customHeight="1" x14ac:dyDescent="0.25"/>
    <row r="1664" ht="20.149999999999999" customHeight="1" x14ac:dyDescent="0.25"/>
    <row r="1665" ht="20.149999999999999" customHeight="1" x14ac:dyDescent="0.25"/>
    <row r="1666" ht="20.149999999999999" customHeight="1" x14ac:dyDescent="0.25"/>
    <row r="1667" ht="20.149999999999999" customHeight="1" x14ac:dyDescent="0.25"/>
    <row r="1668" ht="20.149999999999999" customHeight="1" x14ac:dyDescent="0.25"/>
    <row r="1669" ht="20.149999999999999" customHeight="1" x14ac:dyDescent="0.25"/>
    <row r="1670" ht="20.149999999999999" customHeight="1" x14ac:dyDescent="0.25"/>
    <row r="1671" ht="20.149999999999999" customHeight="1" x14ac:dyDescent="0.25"/>
    <row r="1672" ht="20.149999999999999" customHeight="1" x14ac:dyDescent="0.25"/>
    <row r="1673" ht="20.149999999999999" customHeight="1" x14ac:dyDescent="0.25"/>
    <row r="1674" ht="20.149999999999999" customHeight="1" x14ac:dyDescent="0.25"/>
    <row r="1675" ht="20.149999999999999" customHeight="1" x14ac:dyDescent="0.25"/>
    <row r="1676" ht="20.149999999999999" customHeight="1" x14ac:dyDescent="0.25"/>
    <row r="1677" ht="20.149999999999999" customHeight="1" x14ac:dyDescent="0.25"/>
    <row r="1678" ht="20.149999999999999" customHeight="1" x14ac:dyDescent="0.25"/>
    <row r="1679" ht="20.149999999999999" customHeight="1" x14ac:dyDescent="0.25"/>
    <row r="1680" ht="20.149999999999999" customHeight="1" x14ac:dyDescent="0.25"/>
    <row r="1681" ht="20.149999999999999" customHeight="1" x14ac:dyDescent="0.25"/>
    <row r="1682" ht="20.149999999999999" customHeight="1" x14ac:dyDescent="0.25"/>
    <row r="1683" ht="20.149999999999999" customHeight="1" x14ac:dyDescent="0.25"/>
    <row r="1684" ht="20.149999999999999" customHeight="1" x14ac:dyDescent="0.25"/>
    <row r="1685" ht="20.149999999999999" customHeight="1" x14ac:dyDescent="0.25"/>
    <row r="1686" ht="20.149999999999999" customHeight="1" x14ac:dyDescent="0.25"/>
    <row r="1687" ht="20.149999999999999" customHeight="1" x14ac:dyDescent="0.25"/>
    <row r="1688" ht="20.149999999999999" customHeight="1" x14ac:dyDescent="0.25"/>
    <row r="1689" ht="20.149999999999999" customHeight="1" x14ac:dyDescent="0.25"/>
    <row r="1690" ht="20.149999999999999" customHeight="1" x14ac:dyDescent="0.25"/>
    <row r="1691" ht="20.149999999999999" customHeight="1" x14ac:dyDescent="0.25"/>
    <row r="1692" ht="20.149999999999999" customHeight="1" x14ac:dyDescent="0.25"/>
    <row r="1693" ht="20.149999999999999" customHeight="1" x14ac:dyDescent="0.25"/>
    <row r="1694" ht="20.149999999999999" customHeight="1" x14ac:dyDescent="0.25"/>
    <row r="1695" ht="20.149999999999999" customHeight="1" x14ac:dyDescent="0.25"/>
    <row r="1696" ht="20.149999999999999" customHeight="1" x14ac:dyDescent="0.25"/>
    <row r="1697" ht="20.149999999999999" customHeight="1" x14ac:dyDescent="0.25"/>
    <row r="1698" ht="20.149999999999999" customHeight="1" x14ac:dyDescent="0.25"/>
    <row r="1699" ht="20.149999999999999" customHeight="1" x14ac:dyDescent="0.25"/>
    <row r="1700" ht="20.149999999999999" customHeight="1" x14ac:dyDescent="0.25"/>
    <row r="1701" ht="20.149999999999999" customHeight="1" x14ac:dyDescent="0.25"/>
    <row r="1702" ht="20.149999999999999" customHeight="1" x14ac:dyDescent="0.25"/>
    <row r="1703" ht="20.149999999999999" customHeight="1" x14ac:dyDescent="0.25"/>
    <row r="1704" ht="20.149999999999999" customHeight="1" x14ac:dyDescent="0.25"/>
    <row r="1705" ht="20.149999999999999" customHeight="1" x14ac:dyDescent="0.25"/>
    <row r="1706" ht="20.149999999999999" customHeight="1" x14ac:dyDescent="0.25"/>
    <row r="1707" ht="20.149999999999999" customHeight="1" x14ac:dyDescent="0.25"/>
    <row r="1708" ht="20.149999999999999" customHeight="1" x14ac:dyDescent="0.25"/>
    <row r="1709" ht="20.149999999999999" customHeight="1" x14ac:dyDescent="0.25"/>
    <row r="1710" ht="20.149999999999999" customHeight="1" x14ac:dyDescent="0.25"/>
    <row r="1711" ht="20.149999999999999" customHeight="1" x14ac:dyDescent="0.25"/>
    <row r="1712" ht="20.149999999999999" customHeight="1" x14ac:dyDescent="0.25"/>
    <row r="1713" ht="20.149999999999999" customHeight="1" x14ac:dyDescent="0.25"/>
    <row r="1714" ht="20.149999999999999" customHeight="1" x14ac:dyDescent="0.25"/>
    <row r="1715" ht="20.149999999999999" customHeight="1" x14ac:dyDescent="0.25"/>
    <row r="1716" ht="20.149999999999999" customHeight="1" x14ac:dyDescent="0.25"/>
    <row r="1717" ht="20.149999999999999" customHeight="1" x14ac:dyDescent="0.25"/>
    <row r="1718" ht="20.149999999999999" customHeight="1" x14ac:dyDescent="0.25"/>
    <row r="1719" ht="20.149999999999999" customHeight="1" x14ac:dyDescent="0.25"/>
    <row r="1720" ht="20.149999999999999" customHeight="1" x14ac:dyDescent="0.25"/>
    <row r="1721" ht="20.149999999999999" customHeight="1" x14ac:dyDescent="0.25"/>
    <row r="1722" ht="20.149999999999999" customHeight="1" x14ac:dyDescent="0.25"/>
    <row r="1723" ht="20.149999999999999" customHeight="1" x14ac:dyDescent="0.25"/>
    <row r="1724" ht="20.149999999999999" customHeight="1" x14ac:dyDescent="0.25"/>
    <row r="1725" ht="20.149999999999999" customHeight="1" x14ac:dyDescent="0.25"/>
    <row r="1726" ht="20.149999999999999" customHeight="1" x14ac:dyDescent="0.25"/>
    <row r="1727" ht="20.149999999999999" customHeight="1" x14ac:dyDescent="0.25"/>
    <row r="1728" ht="20.149999999999999" customHeight="1" x14ac:dyDescent="0.25"/>
    <row r="1729" ht="20.149999999999999" customHeight="1" x14ac:dyDescent="0.25"/>
    <row r="1730" ht="20.149999999999999" customHeight="1" x14ac:dyDescent="0.25"/>
    <row r="1731" ht="20.149999999999999" customHeight="1" x14ac:dyDescent="0.25"/>
    <row r="1732" ht="20.149999999999999" customHeight="1" x14ac:dyDescent="0.25"/>
    <row r="1733" ht="20.149999999999999" customHeight="1" x14ac:dyDescent="0.25"/>
    <row r="1734" ht="20.149999999999999" customHeight="1" x14ac:dyDescent="0.25"/>
    <row r="1735" ht="20.149999999999999" customHeight="1" x14ac:dyDescent="0.25"/>
    <row r="1736" ht="20.149999999999999" customHeight="1" x14ac:dyDescent="0.25"/>
    <row r="1737" ht="20.149999999999999" customHeight="1" x14ac:dyDescent="0.25"/>
    <row r="1738" ht="20.149999999999999" customHeight="1" x14ac:dyDescent="0.25"/>
    <row r="1739" ht="20.149999999999999" customHeight="1" x14ac:dyDescent="0.25"/>
    <row r="1740" ht="20.149999999999999" customHeight="1" x14ac:dyDescent="0.25"/>
    <row r="1741" ht="20.149999999999999" customHeight="1" x14ac:dyDescent="0.25"/>
    <row r="1742" ht="20.149999999999999" customHeight="1" x14ac:dyDescent="0.25"/>
    <row r="1743" ht="20.149999999999999" customHeight="1" x14ac:dyDescent="0.25"/>
    <row r="1744" ht="20.149999999999999" customHeight="1" x14ac:dyDescent="0.25"/>
    <row r="1745" ht="20.149999999999999" customHeight="1" x14ac:dyDescent="0.25"/>
    <row r="1746" ht="20.149999999999999" customHeight="1" x14ac:dyDescent="0.25"/>
    <row r="1747" ht="20.149999999999999" customHeight="1" x14ac:dyDescent="0.25"/>
    <row r="1748" ht="20.149999999999999" customHeight="1" x14ac:dyDescent="0.25"/>
    <row r="1749" ht="20.149999999999999" customHeight="1" x14ac:dyDescent="0.25"/>
    <row r="1750" ht="20.149999999999999" customHeight="1" x14ac:dyDescent="0.25"/>
    <row r="1751" ht="20.149999999999999" customHeight="1" x14ac:dyDescent="0.25"/>
    <row r="1752" ht="20.149999999999999" customHeight="1" x14ac:dyDescent="0.25"/>
    <row r="1753" ht="20.149999999999999" customHeight="1" x14ac:dyDescent="0.25"/>
    <row r="1754" ht="20.149999999999999" customHeight="1" x14ac:dyDescent="0.25"/>
    <row r="1755" ht="20.149999999999999" customHeight="1" x14ac:dyDescent="0.25"/>
    <row r="1756" ht="20.149999999999999" customHeight="1" x14ac:dyDescent="0.25"/>
    <row r="1757" ht="20.149999999999999" customHeight="1" x14ac:dyDescent="0.25"/>
    <row r="1758" ht="20.149999999999999" customHeight="1" x14ac:dyDescent="0.25"/>
    <row r="1759" ht="20.149999999999999" customHeight="1" x14ac:dyDescent="0.25"/>
    <row r="1760" ht="20.149999999999999" customHeight="1" x14ac:dyDescent="0.25"/>
    <row r="1761" ht="20.149999999999999" customHeight="1" x14ac:dyDescent="0.25"/>
    <row r="1762" ht="20.149999999999999" customHeight="1" x14ac:dyDescent="0.25"/>
    <row r="1763" ht="20.149999999999999" customHeight="1" x14ac:dyDescent="0.25"/>
    <row r="1764" ht="20.149999999999999" customHeight="1" x14ac:dyDescent="0.25"/>
    <row r="1765" ht="20.149999999999999" customHeight="1" x14ac:dyDescent="0.25"/>
    <row r="1766" ht="20.149999999999999" customHeight="1" x14ac:dyDescent="0.25"/>
    <row r="1767" ht="20.149999999999999" customHeight="1" x14ac:dyDescent="0.25"/>
    <row r="1768" ht="20.149999999999999" customHeight="1" x14ac:dyDescent="0.25"/>
    <row r="1769" ht="20.149999999999999" customHeight="1" x14ac:dyDescent="0.25"/>
    <row r="1770" ht="20.149999999999999" customHeight="1" x14ac:dyDescent="0.25"/>
    <row r="1771" ht="20.149999999999999" customHeight="1" x14ac:dyDescent="0.25"/>
    <row r="1772" ht="20.149999999999999" customHeight="1" x14ac:dyDescent="0.25"/>
    <row r="1773" ht="20.149999999999999" customHeight="1" x14ac:dyDescent="0.25"/>
    <row r="1774" ht="20.149999999999999" customHeight="1" x14ac:dyDescent="0.25"/>
    <row r="1775" ht="20.149999999999999" customHeight="1" x14ac:dyDescent="0.25"/>
    <row r="1776" ht="20.149999999999999" customHeight="1" x14ac:dyDescent="0.25"/>
    <row r="1777" ht="20.149999999999999" customHeight="1" x14ac:dyDescent="0.25"/>
    <row r="1778" ht="20.149999999999999" customHeight="1" x14ac:dyDescent="0.25"/>
    <row r="1779" ht="20.149999999999999" customHeight="1" x14ac:dyDescent="0.25"/>
    <row r="1780" ht="20.149999999999999" customHeight="1" x14ac:dyDescent="0.25"/>
    <row r="1781" ht="20.149999999999999" customHeight="1" x14ac:dyDescent="0.25"/>
    <row r="1782" ht="20.149999999999999" customHeight="1" x14ac:dyDescent="0.25"/>
    <row r="1783" ht="20.149999999999999" customHeight="1" x14ac:dyDescent="0.25"/>
    <row r="1784" ht="20.149999999999999" customHeight="1" x14ac:dyDescent="0.25"/>
    <row r="1785" ht="20.149999999999999" customHeight="1" x14ac:dyDescent="0.25"/>
    <row r="1786" ht="20.149999999999999" customHeight="1" x14ac:dyDescent="0.25"/>
    <row r="1787" ht="20.149999999999999" customHeight="1" x14ac:dyDescent="0.25"/>
    <row r="1788" ht="20.149999999999999" customHeight="1" x14ac:dyDescent="0.25"/>
    <row r="1789" ht="20.149999999999999" customHeight="1" x14ac:dyDescent="0.25"/>
    <row r="1790" ht="20.149999999999999" customHeight="1" x14ac:dyDescent="0.25"/>
    <row r="1791" ht="20.149999999999999" customHeight="1" x14ac:dyDescent="0.25"/>
    <row r="1792" ht="20.149999999999999" customHeight="1" x14ac:dyDescent="0.25"/>
    <row r="1793" ht="20.149999999999999" customHeight="1" x14ac:dyDescent="0.25"/>
    <row r="1794" ht="20.149999999999999" customHeight="1" x14ac:dyDescent="0.25"/>
    <row r="1795" ht="20.149999999999999" customHeight="1" x14ac:dyDescent="0.25"/>
    <row r="1796" ht="20.149999999999999" customHeight="1" x14ac:dyDescent="0.25"/>
    <row r="1797" ht="20.149999999999999" customHeight="1" x14ac:dyDescent="0.25"/>
    <row r="1798" ht="20.149999999999999" customHeight="1" x14ac:dyDescent="0.25"/>
    <row r="1799" ht="20.149999999999999" customHeight="1" x14ac:dyDescent="0.25"/>
    <row r="1800" ht="20.149999999999999" customHeight="1" x14ac:dyDescent="0.25"/>
    <row r="1801" ht="20.149999999999999" customHeight="1" x14ac:dyDescent="0.25"/>
    <row r="1802" ht="20.149999999999999" customHeight="1" x14ac:dyDescent="0.25"/>
    <row r="1803" ht="20.149999999999999" customHeight="1" x14ac:dyDescent="0.25"/>
    <row r="1804" ht="20.149999999999999" customHeight="1" x14ac:dyDescent="0.25"/>
    <row r="1805" ht="20.149999999999999" customHeight="1" x14ac:dyDescent="0.25"/>
    <row r="1806" ht="20.149999999999999" customHeight="1" x14ac:dyDescent="0.25"/>
    <row r="1807" ht="20.149999999999999" customHeight="1" x14ac:dyDescent="0.25"/>
    <row r="1808" ht="20.149999999999999" customHeight="1" x14ac:dyDescent="0.25"/>
    <row r="1809" ht="20.149999999999999" customHeight="1" x14ac:dyDescent="0.25"/>
    <row r="1810" ht="20.149999999999999" customHeight="1" x14ac:dyDescent="0.25"/>
    <row r="1811" ht="20.149999999999999" customHeight="1" x14ac:dyDescent="0.25"/>
    <row r="1812" ht="20.149999999999999" customHeight="1" x14ac:dyDescent="0.25"/>
    <row r="1813" ht="20.149999999999999" customHeight="1" x14ac:dyDescent="0.25"/>
    <row r="1814" ht="20.149999999999999" customHeight="1" x14ac:dyDescent="0.25"/>
    <row r="1815" ht="20.149999999999999" customHeight="1" x14ac:dyDescent="0.25"/>
    <row r="1816" ht="20.149999999999999" customHeight="1" x14ac:dyDescent="0.25"/>
    <row r="1817" ht="20.149999999999999" customHeight="1" x14ac:dyDescent="0.25"/>
    <row r="1818" ht="20.149999999999999" customHeight="1" x14ac:dyDescent="0.25"/>
    <row r="1819" ht="20.149999999999999" customHeight="1" x14ac:dyDescent="0.25"/>
    <row r="1820" ht="20.149999999999999" customHeight="1" x14ac:dyDescent="0.25"/>
    <row r="1821" ht="20.149999999999999" customHeight="1" x14ac:dyDescent="0.25"/>
    <row r="1822" ht="20.149999999999999" customHeight="1" x14ac:dyDescent="0.25"/>
    <row r="1823" ht="20.149999999999999" customHeight="1" x14ac:dyDescent="0.25"/>
    <row r="1824" ht="20.149999999999999" customHeight="1" x14ac:dyDescent="0.25"/>
    <row r="1825" ht="20.149999999999999" customHeight="1" x14ac:dyDescent="0.25"/>
    <row r="1826" ht="20.149999999999999" customHeight="1" x14ac:dyDescent="0.25"/>
    <row r="1827" ht="20.149999999999999" customHeight="1" x14ac:dyDescent="0.25"/>
    <row r="1828" ht="20.149999999999999" customHeight="1" x14ac:dyDescent="0.25"/>
    <row r="1829" ht="20.149999999999999" customHeight="1" x14ac:dyDescent="0.25"/>
    <row r="1830" ht="20.149999999999999" customHeight="1" x14ac:dyDescent="0.25"/>
    <row r="1831" ht="20.149999999999999" customHeight="1" x14ac:dyDescent="0.25"/>
    <row r="1832" ht="20.149999999999999" customHeight="1" x14ac:dyDescent="0.25"/>
    <row r="1833" ht="20.149999999999999" customHeight="1" x14ac:dyDescent="0.25"/>
    <row r="1834" ht="20.149999999999999" customHeight="1" x14ac:dyDescent="0.25"/>
    <row r="1835" ht="20.149999999999999" customHeight="1" x14ac:dyDescent="0.25"/>
    <row r="1836" ht="20.149999999999999" customHeight="1" x14ac:dyDescent="0.25"/>
    <row r="1837" ht="20.149999999999999" customHeight="1" x14ac:dyDescent="0.25"/>
    <row r="1838" ht="20.149999999999999" customHeight="1" x14ac:dyDescent="0.25"/>
    <row r="1839" ht="20.149999999999999" customHeight="1" x14ac:dyDescent="0.25"/>
    <row r="1840" ht="20.149999999999999" customHeight="1" x14ac:dyDescent="0.25"/>
    <row r="1841" ht="20.149999999999999" customHeight="1" x14ac:dyDescent="0.25"/>
    <row r="1842" ht="20.149999999999999" customHeight="1" x14ac:dyDescent="0.25"/>
    <row r="1843" ht="20.149999999999999" customHeight="1" x14ac:dyDescent="0.25"/>
    <row r="1844" ht="20.149999999999999" customHeight="1" x14ac:dyDescent="0.25"/>
    <row r="1845" ht="20.149999999999999" customHeight="1" x14ac:dyDescent="0.25"/>
    <row r="1846" ht="20.149999999999999" customHeight="1" x14ac:dyDescent="0.25"/>
    <row r="1847" ht="20.149999999999999" customHeight="1" x14ac:dyDescent="0.25"/>
    <row r="1848" ht="20.149999999999999" customHeight="1" x14ac:dyDescent="0.25"/>
    <row r="1849" ht="20.149999999999999" customHeight="1" x14ac:dyDescent="0.25"/>
    <row r="1850" ht="20.149999999999999" customHeight="1" x14ac:dyDescent="0.25"/>
    <row r="1851" ht="20.149999999999999" customHeight="1" x14ac:dyDescent="0.25"/>
    <row r="1852" ht="20.149999999999999" customHeight="1" x14ac:dyDescent="0.25"/>
    <row r="1853" ht="20.149999999999999" customHeight="1" x14ac:dyDescent="0.25"/>
    <row r="1854" ht="20.149999999999999" customHeight="1" x14ac:dyDescent="0.25"/>
    <row r="1855" ht="20.149999999999999" customHeight="1" x14ac:dyDescent="0.25"/>
    <row r="1856" ht="20.149999999999999" customHeight="1" x14ac:dyDescent="0.25"/>
    <row r="1857" ht="20.149999999999999" customHeight="1" x14ac:dyDescent="0.25"/>
    <row r="1858" ht="20.149999999999999" customHeight="1" x14ac:dyDescent="0.25"/>
    <row r="1859" ht="20.149999999999999" customHeight="1" x14ac:dyDescent="0.25"/>
    <row r="1860" ht="20.149999999999999" customHeight="1" x14ac:dyDescent="0.25"/>
    <row r="1861" ht="20.149999999999999" customHeight="1" x14ac:dyDescent="0.25"/>
    <row r="1862" ht="20.149999999999999" customHeight="1" x14ac:dyDescent="0.25"/>
    <row r="1863" ht="20.149999999999999" customHeight="1" x14ac:dyDescent="0.25"/>
    <row r="1864" ht="20.149999999999999" customHeight="1" x14ac:dyDescent="0.25"/>
    <row r="1865" ht="20.149999999999999" customHeight="1" x14ac:dyDescent="0.25"/>
    <row r="1866" ht="20.149999999999999" customHeight="1" x14ac:dyDescent="0.25"/>
    <row r="1867" ht="20.149999999999999" customHeight="1" x14ac:dyDescent="0.25"/>
    <row r="1868" ht="20.149999999999999" customHeight="1" x14ac:dyDescent="0.25"/>
    <row r="1869" ht="20.149999999999999" customHeight="1" x14ac:dyDescent="0.25"/>
    <row r="1870" ht="20.149999999999999" customHeight="1" x14ac:dyDescent="0.25"/>
    <row r="1871" ht="20.149999999999999" customHeight="1" x14ac:dyDescent="0.25"/>
    <row r="1872" ht="20.149999999999999" customHeight="1" x14ac:dyDescent="0.25"/>
    <row r="1873" ht="20.149999999999999" customHeight="1" x14ac:dyDescent="0.25"/>
    <row r="1874" ht="20.149999999999999" customHeight="1" x14ac:dyDescent="0.25"/>
    <row r="1875" ht="20.149999999999999" customHeight="1" x14ac:dyDescent="0.25"/>
    <row r="1876" ht="20.149999999999999" customHeight="1" x14ac:dyDescent="0.25"/>
    <row r="1877" ht="20.149999999999999" customHeight="1" x14ac:dyDescent="0.25"/>
    <row r="1878" ht="20.149999999999999" customHeight="1" x14ac:dyDescent="0.25"/>
    <row r="1879" ht="20.149999999999999" customHeight="1" x14ac:dyDescent="0.25"/>
    <row r="1880" ht="20.149999999999999" customHeight="1" x14ac:dyDescent="0.25"/>
    <row r="1881" ht="20.149999999999999" customHeight="1" x14ac:dyDescent="0.25"/>
  </sheetData>
  <mergeCells count="1">
    <mergeCell ref="C15:I15"/>
  </mergeCells>
  <phoneticPr fontId="0" type="noConversion"/>
  <pageMargins left="0.19685039370078741" right="0.19685039370078741" top="1.1499999999999999" bottom="0.70866141732283472" header="0.15748031496062992" footer="0.27559055118110237"/>
  <pageSetup paperSize="8" scale="55" orientation="landscape" r:id="rId1"/>
  <headerFooter alignWithMargins="0">
    <oddHeader>&amp;L&amp;G&amp;R&amp;"Arial,Bold"&amp;12Form Number:  PFM-0005-MEL
Revision: 7.0   Page &amp;P of  &amp;N</oddHeader>
    <oddFooter>&amp;L&amp;"Times New Roman,Italic"QFM-0103-STX REV 1.0&amp;C&amp;"Times New Roman,Italic"If this is a copy, unless otherwise specified, it is uncontrolled. You must verifiy the revision before use.</oddFooter>
  </headerFooter>
  <colBreaks count="1" manualBreakCount="1">
    <brk id="37" max="36" man="1"/>
  </col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45</vt:i4>
      </vt:variant>
    </vt:vector>
  </HeadingPairs>
  <TitlesOfParts>
    <vt:vector size="48" baseType="lpstr">
      <vt:lpstr>Labour Routing Template</vt:lpstr>
      <vt:lpstr>BOM-LI_RFSoC_8X8_GNSS_V2I1(Prot</vt:lpstr>
      <vt:lpstr>Revision Log</vt:lpstr>
      <vt:lpstr>Conf</vt:lpstr>
      <vt:lpstr>ConfMach</vt:lpstr>
      <vt:lpstr>ConfMachSETUP</vt:lpstr>
      <vt:lpstr>ConfMan</vt:lpstr>
      <vt:lpstr>ConfSUp</vt:lpstr>
      <vt:lpstr>Depanel</vt:lpstr>
      <vt:lpstr>Efficiency</vt:lpstr>
      <vt:lpstr>FCT</vt:lpstr>
      <vt:lpstr>FCTDBg</vt:lpstr>
      <vt:lpstr>FQA</vt:lpstr>
      <vt:lpstr>FQC</vt:lpstr>
      <vt:lpstr>FTCDBg</vt:lpstr>
      <vt:lpstr>HandPb</vt:lpstr>
      <vt:lpstr>HandPbf</vt:lpstr>
      <vt:lpstr>ICT</vt:lpstr>
      <vt:lpstr>ICTDBg</vt:lpstr>
      <vt:lpstr>KITTING</vt:lpstr>
      <vt:lpstr>MechAssy</vt:lpstr>
      <vt:lpstr>MiscMod</vt:lpstr>
      <vt:lpstr>Pack</vt:lpstr>
      <vt:lpstr>PFit</vt:lpstr>
      <vt:lpstr>PFitSUp</vt:lpstr>
      <vt:lpstr>PREP</vt:lpstr>
      <vt:lpstr>PREPSETUP</vt:lpstr>
      <vt:lpstr>PREPSPEC</vt:lpstr>
      <vt:lpstr>'Revision Log'!Print_Area</vt:lpstr>
      <vt:lpstr>'BOM-LI_RFSoC_8X8_GNSS_V2I1(Prot'!Print_Titles</vt:lpstr>
      <vt:lpstr>'Labour Routing Template'!Print_Titles</vt:lpstr>
      <vt:lpstr>PROG</vt:lpstr>
      <vt:lpstr>PTHLoad</vt:lpstr>
      <vt:lpstr>RPT</vt:lpstr>
      <vt:lpstr>RPTSUp</vt:lpstr>
      <vt:lpstr>Screw</vt:lpstr>
      <vt:lpstr>ScrewSETUP</vt:lpstr>
      <vt:lpstr>Selective</vt:lpstr>
      <vt:lpstr>SelectiveSETUP</vt:lpstr>
      <vt:lpstr>SMTBS</vt:lpstr>
      <vt:lpstr>SMTQA</vt:lpstr>
      <vt:lpstr>SMTSETUP</vt:lpstr>
      <vt:lpstr>SMTTS</vt:lpstr>
      <vt:lpstr>TMPCYC</vt:lpstr>
      <vt:lpstr>Wave</vt:lpstr>
      <vt:lpstr>WaveQA</vt:lpstr>
      <vt:lpstr>WaveSETUP</vt:lpstr>
      <vt:lpstr>WaveTUP</vt:lpstr>
    </vt:vector>
  </TitlesOfParts>
  <Company>Startronics (WA) Pty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PFM-0005-MEL</dc:title>
  <dc:creator>Branko Polak</dc:creator>
  <cp:lastModifiedBy>Hector Salazar</cp:lastModifiedBy>
  <cp:lastPrinted>2016-08-19T08:25:55Z</cp:lastPrinted>
  <dcterms:created xsi:type="dcterms:W3CDTF">2004-01-21T02:15:41Z</dcterms:created>
  <dcterms:modified xsi:type="dcterms:W3CDTF">2026-05-07T05:58:09Z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CN">
    <vt:lpwstr>D64</vt:lpwstr>
  </property>
  <property fmtid="{D5CDD505-2E9C-101B-9397-08002B2CF9AE}" pid="3" name="Transmittal Numbers">
    <vt:lpwstr/>
  </property>
  <property fmtid="{D5CDD505-2E9C-101B-9397-08002B2CF9AE}" pid="4" name="Name of Originator">
    <vt:lpwstr>21</vt:lpwstr>
  </property>
  <property fmtid="{D5CDD505-2E9C-101B-9397-08002B2CF9AE}" pid="5" name="Document Title">
    <vt:lpwstr>ENGINEERING RFQ INFORMATION</vt:lpwstr>
  </property>
  <property fmtid="{D5CDD505-2E9C-101B-9397-08002B2CF9AE}" pid="6" name="Document Action">
    <vt:lpwstr>Add</vt:lpwstr>
  </property>
  <property fmtid="{D5CDD505-2E9C-101B-9397-08002B2CF9AE}" pid="7" name="Document Status">
    <vt:lpwstr>Raised</vt:lpwstr>
  </property>
  <property fmtid="{D5CDD505-2E9C-101B-9397-08002B2CF9AE}" pid="8" name="ContentType">
    <vt:lpwstr>Document</vt:lpwstr>
  </property>
  <property fmtid="{D5CDD505-2E9C-101B-9397-08002B2CF9AE}" pid="9" name="Document Revision">
    <vt:lpwstr>0.2</vt:lpwstr>
  </property>
  <property fmtid="{D5CDD505-2E9C-101B-9397-08002B2CF9AE}" pid="10" name="Effective Date">
    <vt:lpwstr>2009-10-20T00:00:00Z</vt:lpwstr>
  </property>
  <property fmtid="{D5CDD505-2E9C-101B-9397-08002B2CF9AE}" pid="11" name="ISO Category">
    <vt:lpwstr>QM-07 Product Realisation</vt:lpwstr>
  </property>
  <property fmtid="{D5CDD505-2E9C-101B-9397-08002B2CF9AE}" pid="12" name="Notes0">
    <vt:lpwstr/>
  </property>
  <property fmtid="{D5CDD505-2E9C-101B-9397-08002B2CF9AE}" pid="13" name="display_urn:schemas-microsoft-com:office:office#Name_x0020_of_x0020_Originator">
    <vt:lpwstr>Michael Witte</vt:lpwstr>
  </property>
  <property fmtid="{D5CDD505-2E9C-101B-9397-08002B2CF9AE}" pid="14" name="Document Type">
    <vt:lpwstr>Form</vt:lpwstr>
  </property>
</Properties>
</file>