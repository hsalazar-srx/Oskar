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_WORK\Engineering Management\ENG Presentations\BOMs &amp; ECNs Related\"/>
    </mc:Choice>
  </mc:AlternateContent>
  <xr:revisionPtr revIDLastSave="0" documentId="13_ncr:1_{2D9AF5B8-9458-4776-B0BA-E8C0AB4B9536}" xr6:coauthVersionLast="47" xr6:coauthVersionMax="47" xr10:uidLastSave="{00000000-0000-0000-0000-000000000000}"/>
  <bookViews>
    <workbookView xWindow="-120" yWindow="-120" windowWidth="29040" windowHeight="15720" xr2:uid="{00000000-000D-0000-FFFF-FFFF00000000}"/>
  </bookViews>
  <sheets>
    <sheet name="ECN Tasks - PN,MPN,Route,BOM" sheetId="1" r:id="rId1"/>
    <sheet name="PARETO CHART" sheetId="3" r:id="rId2"/>
    <sheet name="PARETO" sheetId="2" r:id="rId3"/>
  </sheets>
  <definedNames>
    <definedName name="_xlnm._FilterDatabase" localSheetId="0" hidden="1">'ECN Tasks - PN,MPN,Route,BOM'!$A$2:$E$2</definedName>
    <definedName name="_xlnm._FilterDatabase" localSheetId="2" hidden="1">PARETO!$A$1:$C$1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0" i="2" l="1"/>
  <c r="B22" i="2"/>
  <c r="B3" i="2"/>
  <c r="B4" i="2"/>
  <c r="B7" i="2"/>
  <c r="B2" i="2"/>
  <c r="B5" i="2"/>
  <c r="B6" i="2"/>
  <c r="B11" i="2"/>
  <c r="B18" i="2"/>
  <c r="B12" i="2"/>
  <c r="B13" i="2"/>
  <c r="B19" i="2"/>
  <c r="B20" i="2"/>
  <c r="B21" i="2"/>
  <c r="B8" i="2"/>
  <c r="B14" i="2"/>
  <c r="B15" i="2"/>
  <c r="B16" i="2"/>
  <c r="B17" i="2"/>
  <c r="B9" i="2"/>
  <c r="D22" i="1"/>
  <c r="D3" i="1"/>
  <c r="C9" i="1"/>
  <c r="C25" i="1" s="1"/>
  <c r="C26" i="1" s="1"/>
  <c r="C27" i="1" s="1"/>
  <c r="C28" i="1" s="1"/>
  <c r="B24" i="2" l="1"/>
  <c r="C2" i="2" s="1"/>
  <c r="D8" i="1"/>
  <c r="C3" i="2" l="1"/>
  <c r="C4" i="2" s="1"/>
  <c r="C5" i="2" s="1"/>
  <c r="C6" i="2" s="1"/>
  <c r="C7" i="2" s="1"/>
  <c r="C8" i="2" s="1"/>
  <c r="C9" i="2" s="1"/>
  <c r="C10" i="2" s="1"/>
  <c r="C11" i="2" s="1"/>
  <c r="C12" i="2" s="1"/>
  <c r="C13" i="2" s="1"/>
  <c r="C14" i="2" s="1"/>
  <c r="C15" i="2" s="1"/>
  <c r="C16" i="2" s="1"/>
  <c r="C17" i="2" s="1"/>
  <c r="C18" i="2" s="1"/>
  <c r="C19" i="2" s="1"/>
  <c r="C20" i="2" s="1"/>
  <c r="C21" i="2" s="1"/>
  <c r="C22" i="2" s="1"/>
</calcChain>
</file>

<file path=xl/sharedStrings.xml><?xml version="1.0" encoding="utf-8"?>
<sst xmlns="http://schemas.openxmlformats.org/spreadsheetml/2006/main" count="81" uniqueCount="58">
  <si>
    <t>Category</t>
  </si>
  <si>
    <t>Task</t>
  </si>
  <si>
    <t>Invalid MPNs</t>
  </si>
  <si>
    <t>Search and propose correct MPNs</t>
  </si>
  <si>
    <t>Ref Des &lt;&gt; QTY mismatch</t>
  </si>
  <si>
    <t>AVG (Min)</t>
  </si>
  <si>
    <t>Comments</t>
  </si>
  <si>
    <t>Check Movex BOM (uploaded by ECN) against original customer BOM</t>
  </si>
  <si>
    <t>Check if description fits our STD and has less than 30 characters - if not we need to use Digikey BOM Upload to populate STD description. If parts are not found at DK - manual search Octopart and Internet is done</t>
  </si>
  <si>
    <t>Populate Procurement Parameters</t>
  </si>
  <si>
    <t>Sanitise description of the parts (Create New Part Description)</t>
  </si>
  <si>
    <t>Rely on Stargile check during upload</t>
  </si>
  <si>
    <t>Checking by Alias is simpler, checking by MPN takes longer especially if there are alternatives for MPN with non-identical format.</t>
  </si>
  <si>
    <t>Populate SRX PN &amp; SC Template</t>
  </si>
  <si>
    <t>Generate the list of parts that need new PN - 5min/PN assumption you create 50PN</t>
  </si>
  <si>
    <t>Populate Product &amp; Procurement Group</t>
  </si>
  <si>
    <t>manual lookup with the Proc &amp; Prod Grp Matrix</t>
  </si>
  <si>
    <t>Raise ECN Stargile for PN &amp; SC</t>
  </si>
  <si>
    <t>Template &amp; QCW including the SRX PN column has to be sent by email to Procurement to add Procurement parameters. Can be done as a separate ECN by Procurement</t>
  </si>
  <si>
    <t>Populate SRX MPN Template</t>
  </si>
  <si>
    <t>Raise ECN Stargile for MPN</t>
  </si>
  <si>
    <t>Populate SRX Route Template</t>
  </si>
  <si>
    <t>need QCW or LQ to copy paste</t>
  </si>
  <si>
    <t>Raise ECN Stargile for Route</t>
  </si>
  <si>
    <t>Populate SRX BOM Template</t>
  </si>
  <si>
    <t>Get Operation No for each part (Split BOM SMT, TH, Mechanical, Packing)</t>
  </si>
  <si>
    <t>manual - Depends on part description and CAD data availability</t>
  </si>
  <si>
    <t>next day once Ref Des are available - download BOM and check against customer BOM</t>
  </si>
  <si>
    <t>BOM Prep</t>
  </si>
  <si>
    <t>Raise ECN Stargile for BOM</t>
  </si>
  <si>
    <t>ECN Templates Prep &amp; Upload</t>
  </si>
  <si>
    <t>Final BOM Check</t>
  </si>
  <si>
    <t>Manual check - no tool - mainly add the right packaging type to the MPNs - or add multiple packaging types like reel preferred, tube as alternative. Initial check done by Quote Team</t>
  </si>
  <si>
    <t>need SRX PN, DESC, Item STATUS, ECN NO, ECN LINE, Is New Item, Proc Group, Prod Group, Item Group, UOM, Item Template No. All Templates are done in XLSX and then need to be saved as TXT tab delimited for upload in Stargile, otherwise won't work</t>
  </si>
  <si>
    <t>Find and Populate Manufacturer No</t>
  </si>
  <si>
    <t>manual - you have Manuf Name and need to find Manuf Code - VLOOKUP once you download all the supplier info</t>
  </si>
  <si>
    <t>Check which PN are already created in Movex</t>
  </si>
  <si>
    <t>Create new PN names where needed</t>
  </si>
  <si>
    <r>
      <rPr>
        <b/>
        <sz val="11"/>
        <color theme="1"/>
        <rFont val="Calibri"/>
        <family val="2"/>
        <scheme val="minor"/>
      </rPr>
      <t>ECN1</t>
    </r>
    <r>
      <rPr>
        <sz val="11"/>
        <color theme="1"/>
        <rFont val="Calibri"/>
        <family val="2"/>
        <scheme val="minor"/>
      </rPr>
      <t xml:space="preserve"> - Create SRX PN &amp; Stock CODE - need SRX PN, DESC, Item STATUS, ECN NO, ECN LINE</t>
    </r>
  </si>
  <si>
    <r>
      <rPr>
        <b/>
        <sz val="11"/>
        <color theme="1"/>
        <rFont val="Calibri"/>
        <family val="2"/>
        <scheme val="minor"/>
      </rPr>
      <t xml:space="preserve">ECN2 - </t>
    </r>
    <r>
      <rPr>
        <sz val="11"/>
        <color theme="1"/>
        <rFont val="Calibri"/>
        <family val="2"/>
        <scheme val="minor"/>
      </rPr>
      <t>MPN Uploads (different template) - need PN, MPN, Manufacturer (30), Manufacturer Code</t>
    </r>
  </si>
  <si>
    <r>
      <rPr>
        <b/>
        <sz val="11"/>
        <color theme="1"/>
        <rFont val="Calibri"/>
        <family val="2"/>
        <scheme val="minor"/>
      </rPr>
      <t>ECN3</t>
    </r>
    <r>
      <rPr>
        <sz val="11"/>
        <color theme="1"/>
        <rFont val="Calibri"/>
        <family val="2"/>
        <scheme val="minor"/>
      </rPr>
      <t xml:space="preserve"> – Routing Upload - PE needs to get from PM the batch quantity in order to load the right routings</t>
    </r>
  </si>
  <si>
    <r>
      <rPr>
        <b/>
        <sz val="11"/>
        <color theme="1"/>
        <rFont val="Calibri"/>
        <family val="2"/>
        <scheme val="minor"/>
      </rPr>
      <t>ECN4</t>
    </r>
    <r>
      <rPr>
        <sz val="11"/>
        <color theme="1"/>
        <rFont val="Calibri"/>
        <family val="2"/>
        <scheme val="minor"/>
      </rPr>
      <t xml:space="preserve"> – BOM Upload: PN, QTY, Reference Designator, Operation Number (50-SMT, 100-TH, 160-Mechanical, 190-Packing)</t>
    </r>
  </si>
  <si>
    <t>Total</t>
  </si>
  <si>
    <t>Total(min)</t>
  </si>
  <si>
    <t>Total(hours)</t>
  </si>
  <si>
    <t>Total (days) - uninterrupted work</t>
  </si>
  <si>
    <t>Days</t>
  </si>
  <si>
    <t>Hours</t>
  </si>
  <si>
    <t>Minutes</t>
  </si>
  <si>
    <t>email, reply, checks</t>
  </si>
  <si>
    <t>Example time required for a 100 PN BOM to get it up in Movex</t>
  </si>
  <si>
    <t>Check customer BOM against Quoted BOM
Rev check, MPN, Ref Des, QTY or check new customer BOM against Movex BOM</t>
  </si>
  <si>
    <t>Excel check - mainly to detect if any ALTERNATIVES have been added during RFQ, which at this stage are not approved by the customer. If approval needed additional delays will occur - send email to the customer and wait for approval. For new rev - Could take longer depending on BOM format, number of alternative MPNs and number of changes</t>
  </si>
  <si>
    <t>AVG(MIN)</t>
  </si>
  <si>
    <t>Cumulative %</t>
  </si>
  <si>
    <t>Total (days) - realistic estimation (with interruptions)</t>
  </si>
  <si>
    <t>Send BOM to the customer for a final check</t>
  </si>
  <si>
    <r>
      <t xml:space="preserve">manual check - no tool - totally based on Quoted BOM - if an MPN is wrong it will be discovered at Procurement stage
</t>
    </r>
    <r>
      <rPr>
        <b/>
        <sz val="11"/>
        <color theme="1"/>
        <rFont val="Calibri"/>
        <family val="2"/>
        <scheme val="minor"/>
      </rPr>
      <t>Mainly wrong packaging type selected - tubes, tray, reel, etc. Initial check done by Quote Team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</si>
</sst>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9C0006"/>
      <name val="Calibri"/>
      <family val="2"/>
      <scheme val="minor"/>
    </font>
    <font>
      <b/>
      <sz val="11"/>
      <color theme="0"/>
      <name val="Calibri"/>
      <family val="2"/>
      <scheme val="minor"/>
    </font>
    <font>
      <b/>
      <sz val="11"/>
      <color theme="1"/>
      <name val="Calibri"/>
      <family val="2"/>
      <scheme val="minor"/>
    </font>
    <font>
      <b/>
      <sz val="14"/>
      <color theme="1"/>
      <name val="Calibri"/>
      <family val="2"/>
      <scheme val="minor"/>
    </font>
    <font>
      <sz val="11"/>
      <name val="Calibri"/>
      <family val="2"/>
      <scheme val="minor"/>
    </font>
    <font>
      <b/>
      <sz val="11"/>
      <name val="Calibri"/>
      <family val="2"/>
      <scheme val="minor"/>
    </font>
    <font>
      <i/>
      <sz val="11"/>
      <name val="Calibri"/>
      <family val="2"/>
      <scheme val="minor"/>
    </font>
    <font>
      <b/>
      <sz val="11"/>
      <color rgb="FFFF0000"/>
      <name val="Calibri"/>
      <family val="2"/>
      <scheme val="minor"/>
    </font>
  </fonts>
  <fills count="8">
    <fill>
      <patternFill patternType="none"/>
    </fill>
    <fill>
      <patternFill patternType="gray125"/>
    </fill>
    <fill>
      <patternFill patternType="solid">
        <fgColor rgb="FFFFC7CE"/>
      </patternFill>
    </fill>
    <fill>
      <patternFill patternType="solid">
        <fgColor rgb="FFA5A5A5"/>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bgColor indexed="64"/>
      </patternFill>
    </fill>
  </fills>
  <borders count="15">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3" borderId="1" applyNumberFormat="0" applyAlignment="0" applyProtection="0"/>
  </cellStyleXfs>
  <cellXfs count="54">
    <xf numFmtId="0" fontId="0" fillId="0" borderId="0" xfId="0"/>
    <xf numFmtId="0" fontId="0" fillId="4" borderId="2" xfId="0" applyFill="1" applyBorder="1" applyAlignment="1">
      <alignment wrapText="1"/>
    </xf>
    <xf numFmtId="0" fontId="2" fillId="3" borderId="1" xfId="2"/>
    <xf numFmtId="0" fontId="0" fillId="0" borderId="0" xfId="0" applyAlignment="1">
      <alignment wrapText="1"/>
    </xf>
    <xf numFmtId="0" fontId="5" fillId="5" borderId="2" xfId="0" applyFont="1" applyFill="1" applyBorder="1" applyAlignment="1">
      <alignment wrapText="1"/>
    </xf>
    <xf numFmtId="0" fontId="6" fillId="5" borderId="2" xfId="0" applyFont="1" applyFill="1" applyBorder="1" applyAlignment="1">
      <alignment wrapText="1"/>
    </xf>
    <xf numFmtId="0" fontId="7" fillId="5" borderId="2" xfId="0" applyFont="1" applyFill="1" applyBorder="1" applyAlignment="1">
      <alignment wrapText="1"/>
    </xf>
    <xf numFmtId="0" fontId="0" fillId="4" borderId="4" xfId="0" applyFill="1" applyBorder="1" applyAlignment="1">
      <alignment wrapText="1"/>
    </xf>
    <xf numFmtId="0" fontId="0" fillId="0" borderId="5" xfId="0" applyBorder="1" applyAlignment="1">
      <alignment wrapText="1"/>
    </xf>
    <xf numFmtId="0" fontId="0" fillId="0" borderId="6" xfId="0" applyBorder="1" applyAlignment="1">
      <alignment wrapText="1"/>
    </xf>
    <xf numFmtId="0" fontId="0" fillId="4" borderId="7" xfId="0" applyFill="1" applyBorder="1" applyAlignment="1">
      <alignment wrapText="1"/>
    </xf>
    <xf numFmtId="0" fontId="0" fillId="0" borderId="8" xfId="0" applyBorder="1" applyAlignment="1">
      <alignment wrapText="1"/>
    </xf>
    <xf numFmtId="4" fontId="0" fillId="0" borderId="2" xfId="0" applyNumberFormat="1" applyBorder="1"/>
    <xf numFmtId="4" fontId="0" fillId="0" borderId="4" xfId="0" applyNumberFormat="1" applyBorder="1"/>
    <xf numFmtId="4" fontId="0" fillId="0" borderId="7" xfId="0" applyNumberFormat="1" applyBorder="1"/>
    <xf numFmtId="0" fontId="8" fillId="5" borderId="2" xfId="0" applyFont="1" applyFill="1" applyBorder="1" applyAlignment="1">
      <alignment wrapText="1"/>
    </xf>
    <xf numFmtId="0" fontId="5" fillId="5" borderId="4" xfId="0" applyFont="1" applyFill="1" applyBorder="1" applyAlignment="1">
      <alignment wrapText="1"/>
    </xf>
    <xf numFmtId="0" fontId="5" fillId="6" borderId="4" xfId="0" applyFont="1" applyFill="1" applyBorder="1" applyAlignment="1">
      <alignment wrapText="1"/>
    </xf>
    <xf numFmtId="0" fontId="0" fillId="6" borderId="7" xfId="0" applyFill="1" applyBorder="1"/>
    <xf numFmtId="0" fontId="2" fillId="3" borderId="0" xfId="2" applyBorder="1"/>
    <xf numFmtId="0" fontId="2" fillId="3" borderId="0" xfId="2" applyBorder="1" applyAlignment="1">
      <alignment wrapText="1"/>
    </xf>
    <xf numFmtId="4" fontId="2" fillId="3" borderId="0" xfId="2" applyNumberFormat="1" applyBorder="1"/>
    <xf numFmtId="4" fontId="0" fillId="0" borderId="0" xfId="0" applyNumberFormat="1"/>
    <xf numFmtId="4" fontId="0" fillId="0" borderId="3" xfId="0" applyNumberFormat="1" applyBorder="1"/>
    <xf numFmtId="0" fontId="0" fillId="0" borderId="13" xfId="0" applyBorder="1" applyAlignment="1">
      <alignment wrapText="1"/>
    </xf>
    <xf numFmtId="0" fontId="0" fillId="7" borderId="0" xfId="0" applyFill="1"/>
    <xf numFmtId="4" fontId="0" fillId="7" borderId="0" xfId="0" applyNumberFormat="1" applyFill="1"/>
    <xf numFmtId="0" fontId="0" fillId="7" borderId="0" xfId="0" applyFill="1" applyAlignment="1">
      <alignment wrapText="1"/>
    </xf>
    <xf numFmtId="0" fontId="3" fillId="7" borderId="0" xfId="0" applyFont="1" applyFill="1"/>
    <xf numFmtId="4" fontId="3" fillId="7" borderId="0" xfId="0" applyNumberFormat="1" applyFont="1" applyFill="1"/>
    <xf numFmtId="0" fontId="8" fillId="5" borderId="3" xfId="0" applyFont="1" applyFill="1" applyBorder="1" applyAlignment="1">
      <alignment wrapText="1"/>
    </xf>
    <xf numFmtId="0" fontId="0" fillId="0" borderId="2" xfId="0" applyBorder="1" applyAlignment="1">
      <alignment wrapText="1"/>
    </xf>
    <xf numFmtId="0" fontId="5" fillId="0" borderId="2" xfId="0" applyFont="1" applyBorder="1" applyAlignment="1">
      <alignment wrapText="1"/>
    </xf>
    <xf numFmtId="0" fontId="7" fillId="0" borderId="2" xfId="0" applyFont="1" applyBorder="1" applyAlignment="1">
      <alignment wrapText="1"/>
    </xf>
    <xf numFmtId="0" fontId="6" fillId="0" borderId="2" xfId="0" applyFont="1" applyBorder="1" applyAlignment="1">
      <alignment wrapText="1"/>
    </xf>
    <xf numFmtId="0" fontId="8" fillId="0" borderId="2" xfId="0" applyFont="1" applyBorder="1" applyAlignment="1">
      <alignment wrapText="1"/>
    </xf>
    <xf numFmtId="0" fontId="0" fillId="0" borderId="2" xfId="0" applyBorder="1"/>
    <xf numFmtId="10" fontId="0" fillId="0" borderId="0" xfId="0" applyNumberFormat="1"/>
    <xf numFmtId="0" fontId="0" fillId="0" borderId="14" xfId="0" applyBorder="1"/>
    <xf numFmtId="10" fontId="0" fillId="0" borderId="2" xfId="0" applyNumberFormat="1" applyBorder="1"/>
    <xf numFmtId="10" fontId="2" fillId="3" borderId="1" xfId="2" applyNumberFormat="1"/>
    <xf numFmtId="0" fontId="1" fillId="2" borderId="2" xfId="1" applyBorder="1" applyAlignment="1">
      <alignment wrapText="1"/>
    </xf>
    <xf numFmtId="0" fontId="1" fillId="2" borderId="14" xfId="1" applyBorder="1"/>
    <xf numFmtId="10" fontId="1" fillId="2" borderId="2" xfId="1" applyNumberFormat="1" applyBorder="1"/>
    <xf numFmtId="0" fontId="3" fillId="7" borderId="0" xfId="0" applyFont="1" applyFill="1" applyAlignment="1">
      <alignment wrapText="1"/>
    </xf>
    <xf numFmtId="0" fontId="3" fillId="0" borderId="9" xfId="0" applyFont="1" applyBorder="1" applyAlignment="1">
      <alignment horizontal="center" vertical="center"/>
    </xf>
    <xf numFmtId="0" fontId="3" fillId="0" borderId="11" xfId="0" applyFont="1" applyBorder="1" applyAlignment="1">
      <alignment horizontal="center" vertical="center"/>
    </xf>
    <xf numFmtId="4" fontId="3" fillId="0" borderId="4" xfId="0" applyNumberFormat="1" applyFont="1" applyBorder="1" applyAlignment="1">
      <alignment horizontal="center" vertical="center"/>
    </xf>
    <xf numFmtId="4" fontId="3" fillId="0" borderId="7" xfId="0" applyNumberFormat="1" applyFont="1" applyBorder="1" applyAlignment="1">
      <alignment horizontal="center" vertical="center"/>
    </xf>
    <xf numFmtId="0" fontId="3" fillId="0" borderId="10" xfId="0" applyFont="1" applyBorder="1" applyAlignment="1">
      <alignment horizontal="center" vertical="center"/>
    </xf>
    <xf numFmtId="0" fontId="3" fillId="0" borderId="12" xfId="0" applyFont="1" applyBorder="1" applyAlignment="1">
      <alignment horizontal="center" vertical="center"/>
    </xf>
    <xf numFmtId="0" fontId="4" fillId="0" borderId="0" xfId="0" applyFont="1" applyAlignment="1">
      <alignment horizontal="center"/>
    </xf>
    <xf numFmtId="4" fontId="3" fillId="0" borderId="2" xfId="0" applyNumberFormat="1" applyFont="1" applyBorder="1" applyAlignment="1">
      <alignment horizontal="center" vertical="center"/>
    </xf>
    <xf numFmtId="4" fontId="3" fillId="0" borderId="3" xfId="0" applyNumberFormat="1" applyFont="1" applyBorder="1" applyAlignment="1">
      <alignment horizontal="center" vertical="center"/>
    </xf>
  </cellXfs>
  <cellStyles count="3">
    <cellStyle name="Bad" xfId="1" builtinId="27"/>
    <cellStyle name="Check Cell" xfId="2"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2.xml"/><Relationship Id="rId7" Type="http://schemas.openxmlformats.org/officeDocument/2006/relationships/calcChain" Target="calcChain.xml"/><Relationship Id="rId2" Type="http://schemas.openxmlformats.org/officeDocument/2006/relationships/chartsheet" Target="chartsheets/sheet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Tasks Pareto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PARETO!$B$1</c:f>
              <c:strCache>
                <c:ptCount val="1"/>
                <c:pt idx="0">
                  <c:v>AVG(MIN)</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D-3E17-4728-88FB-FE149203EEB3}"/>
              </c:ext>
            </c:extLst>
          </c:dPt>
          <c:dPt>
            <c:idx val="1"/>
            <c:invertIfNegative val="0"/>
            <c:bubble3D val="0"/>
            <c:spPr>
              <a:solidFill>
                <a:srgbClr val="FF0000"/>
              </a:solidFill>
              <a:ln>
                <a:noFill/>
              </a:ln>
              <a:effectLst/>
            </c:spPr>
            <c:extLst>
              <c:ext xmlns:c16="http://schemas.microsoft.com/office/drawing/2014/chart" uri="{C3380CC4-5D6E-409C-BE32-E72D297353CC}">
                <c16:uniqueId val="{0000000E-3E17-4728-88FB-FE149203EEB3}"/>
              </c:ext>
            </c:extLst>
          </c:dPt>
          <c:dPt>
            <c:idx val="2"/>
            <c:invertIfNegative val="0"/>
            <c:bubble3D val="0"/>
            <c:spPr>
              <a:solidFill>
                <a:srgbClr val="FF0000"/>
              </a:solidFill>
              <a:ln>
                <a:noFill/>
              </a:ln>
              <a:effectLst/>
            </c:spPr>
            <c:extLst>
              <c:ext xmlns:c16="http://schemas.microsoft.com/office/drawing/2014/chart" uri="{C3380CC4-5D6E-409C-BE32-E72D297353CC}">
                <c16:uniqueId val="{0000000F-3E17-4728-88FB-FE149203EEB3}"/>
              </c:ext>
            </c:extLst>
          </c:dPt>
          <c:dPt>
            <c:idx val="3"/>
            <c:invertIfNegative val="0"/>
            <c:bubble3D val="0"/>
            <c:spPr>
              <a:solidFill>
                <a:srgbClr val="FF0000"/>
              </a:solidFill>
              <a:ln>
                <a:noFill/>
              </a:ln>
              <a:effectLst/>
            </c:spPr>
            <c:extLst>
              <c:ext xmlns:c16="http://schemas.microsoft.com/office/drawing/2014/chart" uri="{C3380CC4-5D6E-409C-BE32-E72D297353CC}">
                <c16:uniqueId val="{00000010-3E17-4728-88FB-FE149203EEB3}"/>
              </c:ext>
            </c:extLst>
          </c:dPt>
          <c:dPt>
            <c:idx val="4"/>
            <c:invertIfNegative val="0"/>
            <c:bubble3D val="0"/>
            <c:spPr>
              <a:solidFill>
                <a:srgbClr val="FF0000"/>
              </a:solidFill>
              <a:ln>
                <a:noFill/>
              </a:ln>
              <a:effectLst/>
            </c:spPr>
            <c:extLst>
              <c:ext xmlns:c16="http://schemas.microsoft.com/office/drawing/2014/chart" uri="{C3380CC4-5D6E-409C-BE32-E72D297353CC}">
                <c16:uniqueId val="{00000011-3E17-4728-88FB-FE149203EEB3}"/>
              </c:ext>
            </c:extLst>
          </c:dPt>
          <c:dPt>
            <c:idx val="5"/>
            <c:invertIfNegative val="0"/>
            <c:bubble3D val="0"/>
            <c:spPr>
              <a:solidFill>
                <a:srgbClr val="FF0000"/>
              </a:solidFill>
              <a:ln>
                <a:noFill/>
              </a:ln>
              <a:effectLst/>
            </c:spPr>
            <c:extLst>
              <c:ext xmlns:c16="http://schemas.microsoft.com/office/drawing/2014/chart" uri="{C3380CC4-5D6E-409C-BE32-E72D297353CC}">
                <c16:uniqueId val="{00000012-3E17-4728-88FB-FE149203EEB3}"/>
              </c:ext>
            </c:extLst>
          </c:dPt>
          <c:dPt>
            <c:idx val="6"/>
            <c:invertIfNegative val="0"/>
            <c:bubble3D val="0"/>
            <c:spPr>
              <a:solidFill>
                <a:srgbClr val="FF0000"/>
              </a:solidFill>
              <a:ln>
                <a:noFill/>
              </a:ln>
              <a:effectLst/>
            </c:spPr>
            <c:extLst>
              <c:ext xmlns:c16="http://schemas.microsoft.com/office/drawing/2014/chart" uri="{C3380CC4-5D6E-409C-BE32-E72D297353CC}">
                <c16:uniqueId val="{00000013-3E17-4728-88FB-FE149203EE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PARETO!$A$2:$A$22</c:f>
              <c:strCache>
                <c:ptCount val="21"/>
                <c:pt idx="0">
                  <c:v>Create new PN names where needed</c:v>
                </c:pt>
                <c:pt idx="1">
                  <c:v>Sanitise description of the parts (Create New Part Description)</c:v>
                </c:pt>
                <c:pt idx="2">
                  <c:v>Check customer BOM against Quoted BOM
Rev check, MPN, Ref Des, QTY or check new customer BOM against Movex BOM</c:v>
                </c:pt>
                <c:pt idx="3">
                  <c:v>Populate Product &amp; Procurement Group</c:v>
                </c:pt>
                <c:pt idx="4">
                  <c:v>Populate Procurement Parameters</c:v>
                </c:pt>
                <c:pt idx="5">
                  <c:v>Check which PN are already created in Movex</c:v>
                </c:pt>
                <c:pt idx="6">
                  <c:v>Get Operation No for each part (Split BOM SMT, TH, Mechanical, Packing)</c:v>
                </c:pt>
                <c:pt idx="7">
                  <c:v>Invalid MPNs</c:v>
                </c:pt>
                <c:pt idx="8">
                  <c:v>Search and propose correct MPNs</c:v>
                </c:pt>
                <c:pt idx="9">
                  <c:v>Populate SRX PN &amp; SC Template</c:v>
                </c:pt>
                <c:pt idx="10">
                  <c:v>Find and Populate Manufacturer No</c:v>
                </c:pt>
                <c:pt idx="11">
                  <c:v>Populate SRX MPN Template</c:v>
                </c:pt>
                <c:pt idx="12">
                  <c:v>Populate SRX BOM Template</c:v>
                </c:pt>
                <c:pt idx="13">
                  <c:v>Raise ECN Stargile for BOM</c:v>
                </c:pt>
                <c:pt idx="14">
                  <c:v>Check Movex BOM (uploaded by ECN) against original customer BOM</c:v>
                </c:pt>
                <c:pt idx="15">
                  <c:v>Send BOM to the customer for a final check</c:v>
                </c:pt>
                <c:pt idx="16">
                  <c:v>Raise ECN Stargile for PN &amp; SC</c:v>
                </c:pt>
                <c:pt idx="17">
                  <c:v>Raise ECN Stargile for MPN</c:v>
                </c:pt>
                <c:pt idx="18">
                  <c:v>Populate SRX Route Template</c:v>
                </c:pt>
                <c:pt idx="19">
                  <c:v>Raise ECN Stargile for Route</c:v>
                </c:pt>
                <c:pt idx="20">
                  <c:v>Ref Des &lt;&gt; QTY mismatch</c:v>
                </c:pt>
              </c:strCache>
            </c:strRef>
          </c:cat>
          <c:val>
            <c:numRef>
              <c:f>PARETO!$B$2:$B$22</c:f>
              <c:numCache>
                <c:formatCode>General</c:formatCode>
                <c:ptCount val="21"/>
                <c:pt idx="0">
                  <c:v>250</c:v>
                </c:pt>
                <c:pt idx="1">
                  <c:v>120</c:v>
                </c:pt>
                <c:pt idx="2">
                  <c:v>120</c:v>
                </c:pt>
                <c:pt idx="3">
                  <c:v>120</c:v>
                </c:pt>
                <c:pt idx="4">
                  <c:v>120</c:v>
                </c:pt>
                <c:pt idx="5">
                  <c:v>60</c:v>
                </c:pt>
                <c:pt idx="6">
                  <c:v>60</c:v>
                </c:pt>
                <c:pt idx="7">
                  <c:v>30</c:v>
                </c:pt>
                <c:pt idx="8">
                  <c:v>30</c:v>
                </c:pt>
                <c:pt idx="9">
                  <c:v>30</c:v>
                </c:pt>
                <c:pt idx="10">
                  <c:v>30</c:v>
                </c:pt>
                <c:pt idx="11">
                  <c:v>30</c:v>
                </c:pt>
                <c:pt idx="12">
                  <c:v>30</c:v>
                </c:pt>
                <c:pt idx="13">
                  <c:v>30</c:v>
                </c:pt>
                <c:pt idx="14">
                  <c:v>30</c:v>
                </c:pt>
                <c:pt idx="15">
                  <c:v>30</c:v>
                </c:pt>
                <c:pt idx="16">
                  <c:v>15</c:v>
                </c:pt>
                <c:pt idx="17">
                  <c:v>15</c:v>
                </c:pt>
                <c:pt idx="18">
                  <c:v>15</c:v>
                </c:pt>
                <c:pt idx="19">
                  <c:v>15</c:v>
                </c:pt>
                <c:pt idx="20">
                  <c:v>0</c:v>
                </c:pt>
              </c:numCache>
            </c:numRef>
          </c:val>
          <c:extLst>
            <c:ext xmlns:c16="http://schemas.microsoft.com/office/drawing/2014/chart" uri="{C3380CC4-5D6E-409C-BE32-E72D297353CC}">
              <c16:uniqueId val="{00000000-3E17-4728-88FB-FE149203EEB3}"/>
            </c:ext>
          </c:extLst>
        </c:ser>
        <c:dLbls>
          <c:showLegendKey val="0"/>
          <c:showVal val="0"/>
          <c:showCatName val="0"/>
          <c:showSerName val="0"/>
          <c:showPercent val="0"/>
          <c:showBubbleSize val="0"/>
        </c:dLbls>
        <c:gapWidth val="150"/>
        <c:axId val="685391567"/>
        <c:axId val="685381999"/>
      </c:barChart>
      <c:lineChart>
        <c:grouping val="standard"/>
        <c:varyColors val="0"/>
        <c:ser>
          <c:idx val="1"/>
          <c:order val="1"/>
          <c:tx>
            <c:strRef>
              <c:f>PARETO!$C$1</c:f>
              <c:strCache>
                <c:ptCount val="1"/>
                <c:pt idx="0">
                  <c:v>Cumulative %</c:v>
                </c:pt>
              </c:strCache>
            </c:strRef>
          </c:tx>
          <c:spPr>
            <a:ln w="28575" cap="rnd">
              <a:solidFill>
                <a:schemeClr val="accent2"/>
              </a:solidFill>
              <a:round/>
            </a:ln>
            <a:effectLst/>
          </c:spPr>
          <c:marker>
            <c:symbol val="none"/>
          </c:marker>
          <c:dLbls>
            <c:dLbl>
              <c:idx val="10"/>
              <c:delete val="1"/>
              <c:extLst>
                <c:ext xmlns:c15="http://schemas.microsoft.com/office/drawing/2012/chart" uri="{CE6537A1-D6FC-4f65-9D91-7224C49458BB}"/>
                <c:ext xmlns:c16="http://schemas.microsoft.com/office/drawing/2014/chart" uri="{C3380CC4-5D6E-409C-BE32-E72D297353CC}">
                  <c16:uniqueId val="{00000002-3E17-4728-88FB-FE149203EEB3}"/>
                </c:ext>
              </c:extLst>
            </c:dLbl>
            <c:dLbl>
              <c:idx val="11"/>
              <c:delete val="1"/>
              <c:extLst>
                <c:ext xmlns:c15="http://schemas.microsoft.com/office/drawing/2012/chart" uri="{CE6537A1-D6FC-4f65-9D91-7224C49458BB}"/>
                <c:ext xmlns:c16="http://schemas.microsoft.com/office/drawing/2014/chart" uri="{C3380CC4-5D6E-409C-BE32-E72D297353CC}">
                  <c16:uniqueId val="{00000003-3E17-4728-88FB-FE149203EEB3}"/>
                </c:ext>
              </c:extLst>
            </c:dLbl>
            <c:dLbl>
              <c:idx val="12"/>
              <c:delete val="1"/>
              <c:extLst>
                <c:ext xmlns:c15="http://schemas.microsoft.com/office/drawing/2012/chart" uri="{CE6537A1-D6FC-4f65-9D91-7224C49458BB}"/>
                <c:ext xmlns:c16="http://schemas.microsoft.com/office/drawing/2014/chart" uri="{C3380CC4-5D6E-409C-BE32-E72D297353CC}">
                  <c16:uniqueId val="{00000004-3E17-4728-88FB-FE149203EEB3}"/>
                </c:ext>
              </c:extLst>
            </c:dLbl>
            <c:dLbl>
              <c:idx val="13"/>
              <c:delete val="1"/>
              <c:extLst>
                <c:ext xmlns:c15="http://schemas.microsoft.com/office/drawing/2012/chart" uri="{CE6537A1-D6FC-4f65-9D91-7224C49458BB}"/>
                <c:ext xmlns:c16="http://schemas.microsoft.com/office/drawing/2014/chart" uri="{C3380CC4-5D6E-409C-BE32-E72D297353CC}">
                  <c16:uniqueId val="{00000005-3E17-4728-88FB-FE149203EEB3}"/>
                </c:ext>
              </c:extLst>
            </c:dLbl>
            <c:dLbl>
              <c:idx val="14"/>
              <c:delete val="1"/>
              <c:extLst>
                <c:ext xmlns:c15="http://schemas.microsoft.com/office/drawing/2012/chart" uri="{CE6537A1-D6FC-4f65-9D91-7224C49458BB}"/>
                <c:ext xmlns:c16="http://schemas.microsoft.com/office/drawing/2014/chart" uri="{C3380CC4-5D6E-409C-BE32-E72D297353CC}">
                  <c16:uniqueId val="{00000006-3E17-4728-88FB-FE149203EEB3}"/>
                </c:ext>
              </c:extLst>
            </c:dLbl>
            <c:dLbl>
              <c:idx val="15"/>
              <c:delete val="1"/>
              <c:extLst>
                <c:ext xmlns:c15="http://schemas.microsoft.com/office/drawing/2012/chart" uri="{CE6537A1-D6FC-4f65-9D91-7224C49458BB}"/>
                <c:ext xmlns:c16="http://schemas.microsoft.com/office/drawing/2014/chart" uri="{C3380CC4-5D6E-409C-BE32-E72D297353CC}">
                  <c16:uniqueId val="{00000007-3E17-4728-88FB-FE149203EEB3}"/>
                </c:ext>
              </c:extLst>
            </c:dLbl>
            <c:dLbl>
              <c:idx val="16"/>
              <c:delete val="1"/>
              <c:extLst>
                <c:ext xmlns:c15="http://schemas.microsoft.com/office/drawing/2012/chart" uri="{CE6537A1-D6FC-4f65-9D91-7224C49458BB}"/>
                <c:ext xmlns:c16="http://schemas.microsoft.com/office/drawing/2014/chart" uri="{C3380CC4-5D6E-409C-BE32-E72D297353CC}">
                  <c16:uniqueId val="{00000008-3E17-4728-88FB-FE149203EEB3}"/>
                </c:ext>
              </c:extLst>
            </c:dLbl>
            <c:dLbl>
              <c:idx val="17"/>
              <c:delete val="1"/>
              <c:extLst>
                <c:ext xmlns:c15="http://schemas.microsoft.com/office/drawing/2012/chart" uri="{CE6537A1-D6FC-4f65-9D91-7224C49458BB}"/>
                <c:ext xmlns:c16="http://schemas.microsoft.com/office/drawing/2014/chart" uri="{C3380CC4-5D6E-409C-BE32-E72D297353CC}">
                  <c16:uniqueId val="{00000009-3E17-4728-88FB-FE149203EEB3}"/>
                </c:ext>
              </c:extLst>
            </c:dLbl>
            <c:dLbl>
              <c:idx val="18"/>
              <c:delete val="1"/>
              <c:extLst>
                <c:ext xmlns:c15="http://schemas.microsoft.com/office/drawing/2012/chart" uri="{CE6537A1-D6FC-4f65-9D91-7224C49458BB}"/>
                <c:ext xmlns:c16="http://schemas.microsoft.com/office/drawing/2014/chart" uri="{C3380CC4-5D6E-409C-BE32-E72D297353CC}">
                  <c16:uniqueId val="{0000000A-3E17-4728-88FB-FE149203EEB3}"/>
                </c:ext>
              </c:extLst>
            </c:dLbl>
            <c:dLbl>
              <c:idx val="19"/>
              <c:delete val="1"/>
              <c:extLst>
                <c:ext xmlns:c15="http://schemas.microsoft.com/office/drawing/2012/chart" uri="{CE6537A1-D6FC-4f65-9D91-7224C49458BB}"/>
                <c:ext xmlns:c16="http://schemas.microsoft.com/office/drawing/2014/chart" uri="{C3380CC4-5D6E-409C-BE32-E72D297353CC}">
                  <c16:uniqueId val="{0000000B-3E17-4728-88FB-FE149203EEB3}"/>
                </c:ext>
              </c:extLst>
            </c:dLbl>
            <c:dLbl>
              <c:idx val="20"/>
              <c:delete val="1"/>
              <c:extLst>
                <c:ext xmlns:c15="http://schemas.microsoft.com/office/drawing/2012/chart" uri="{CE6537A1-D6FC-4f65-9D91-7224C49458BB}"/>
                <c:ext xmlns:c16="http://schemas.microsoft.com/office/drawing/2014/chart" uri="{C3380CC4-5D6E-409C-BE32-E72D297353CC}">
                  <c16:uniqueId val="{0000000C-3E17-4728-88FB-FE149203EEB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PARETO!$A$2:$A$24</c:f>
              <c:strCache>
                <c:ptCount val="23"/>
                <c:pt idx="0">
                  <c:v>Create new PN names where needed</c:v>
                </c:pt>
                <c:pt idx="1">
                  <c:v>Sanitise description of the parts (Create New Part Description)</c:v>
                </c:pt>
                <c:pt idx="2">
                  <c:v>Check customer BOM against Quoted BOM
Rev check, MPN, Ref Des, QTY or check new customer BOM against Movex BOM</c:v>
                </c:pt>
                <c:pt idx="3">
                  <c:v>Populate Product &amp; Procurement Group</c:v>
                </c:pt>
                <c:pt idx="4">
                  <c:v>Populate Procurement Parameters</c:v>
                </c:pt>
                <c:pt idx="5">
                  <c:v>Check which PN are already created in Movex</c:v>
                </c:pt>
                <c:pt idx="6">
                  <c:v>Get Operation No for each part (Split BOM SMT, TH, Mechanical, Packing)</c:v>
                </c:pt>
                <c:pt idx="7">
                  <c:v>Invalid MPNs</c:v>
                </c:pt>
                <c:pt idx="8">
                  <c:v>Search and propose correct MPNs</c:v>
                </c:pt>
                <c:pt idx="9">
                  <c:v>Populate SRX PN &amp; SC Template</c:v>
                </c:pt>
                <c:pt idx="10">
                  <c:v>Find and Populate Manufacturer No</c:v>
                </c:pt>
                <c:pt idx="11">
                  <c:v>Populate SRX MPN Template</c:v>
                </c:pt>
                <c:pt idx="12">
                  <c:v>Populate SRX BOM Template</c:v>
                </c:pt>
                <c:pt idx="13">
                  <c:v>Raise ECN Stargile for BOM</c:v>
                </c:pt>
                <c:pt idx="14">
                  <c:v>Check Movex BOM (uploaded by ECN) against original customer BOM</c:v>
                </c:pt>
                <c:pt idx="15">
                  <c:v>Send BOM to the customer for a final check</c:v>
                </c:pt>
                <c:pt idx="16">
                  <c:v>Raise ECN Stargile for PN &amp; SC</c:v>
                </c:pt>
                <c:pt idx="17">
                  <c:v>Raise ECN Stargile for MPN</c:v>
                </c:pt>
                <c:pt idx="18">
                  <c:v>Populate SRX Route Template</c:v>
                </c:pt>
                <c:pt idx="19">
                  <c:v>Raise ECN Stargile for Route</c:v>
                </c:pt>
                <c:pt idx="20">
                  <c:v>Ref Des &lt;&gt; QTY mismatch</c:v>
                </c:pt>
                <c:pt idx="22">
                  <c:v>Total</c:v>
                </c:pt>
              </c:strCache>
            </c:strRef>
          </c:cat>
          <c:val>
            <c:numRef>
              <c:f>PARETO!$C$2:$C$24</c:f>
              <c:numCache>
                <c:formatCode>0.00%</c:formatCode>
                <c:ptCount val="23"/>
                <c:pt idx="0">
                  <c:v>0.21186440677966101</c:v>
                </c:pt>
                <c:pt idx="1">
                  <c:v>0.3135593220338983</c:v>
                </c:pt>
                <c:pt idx="2">
                  <c:v>0.4152542372881356</c:v>
                </c:pt>
                <c:pt idx="3">
                  <c:v>0.51694915254237284</c:v>
                </c:pt>
                <c:pt idx="4">
                  <c:v>0.61864406779661008</c:v>
                </c:pt>
                <c:pt idx="5">
                  <c:v>0.6694915254237287</c:v>
                </c:pt>
                <c:pt idx="6">
                  <c:v>0.72033898305084731</c:v>
                </c:pt>
                <c:pt idx="7">
                  <c:v>0.74576271186440668</c:v>
                </c:pt>
                <c:pt idx="8">
                  <c:v>0.77118644067796605</c:v>
                </c:pt>
                <c:pt idx="9">
                  <c:v>0.79661016949152541</c:v>
                </c:pt>
                <c:pt idx="10">
                  <c:v>0.82203389830508478</c:v>
                </c:pt>
                <c:pt idx="11">
                  <c:v>0.84745762711864414</c:v>
                </c:pt>
                <c:pt idx="12">
                  <c:v>0.87288135593220351</c:v>
                </c:pt>
                <c:pt idx="13">
                  <c:v>0.89830508474576287</c:v>
                </c:pt>
                <c:pt idx="14">
                  <c:v>0.92372881355932224</c:v>
                </c:pt>
                <c:pt idx="15">
                  <c:v>0.9491525423728816</c:v>
                </c:pt>
                <c:pt idx="16">
                  <c:v>0.96186440677966123</c:v>
                </c:pt>
                <c:pt idx="17">
                  <c:v>0.97457627118644086</c:v>
                </c:pt>
                <c:pt idx="18">
                  <c:v>0.98728813559322048</c:v>
                </c:pt>
                <c:pt idx="19">
                  <c:v>1.0000000000000002</c:v>
                </c:pt>
                <c:pt idx="20">
                  <c:v>1.0000000000000002</c:v>
                </c:pt>
              </c:numCache>
            </c:numRef>
          </c:val>
          <c:smooth val="0"/>
          <c:extLst>
            <c:ext xmlns:c16="http://schemas.microsoft.com/office/drawing/2014/chart" uri="{C3380CC4-5D6E-409C-BE32-E72D297353CC}">
              <c16:uniqueId val="{00000001-3E17-4728-88FB-FE149203EEB3}"/>
            </c:ext>
          </c:extLst>
        </c:ser>
        <c:dLbls>
          <c:showLegendKey val="0"/>
          <c:showVal val="0"/>
          <c:showCatName val="0"/>
          <c:showSerName val="0"/>
          <c:showPercent val="0"/>
          <c:showBubbleSize val="0"/>
        </c:dLbls>
        <c:marker val="1"/>
        <c:smooth val="0"/>
        <c:axId val="162516319"/>
        <c:axId val="162537951"/>
      </c:lineChart>
      <c:catAx>
        <c:axId val="68539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81999"/>
        <c:crosses val="autoZero"/>
        <c:auto val="1"/>
        <c:lblAlgn val="ctr"/>
        <c:lblOffset val="100"/>
        <c:noMultiLvlLbl val="0"/>
      </c:catAx>
      <c:valAx>
        <c:axId val="685381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391567"/>
        <c:crosses val="autoZero"/>
        <c:crossBetween val="between"/>
      </c:valAx>
      <c:valAx>
        <c:axId val="16253795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16319"/>
        <c:crosses val="max"/>
        <c:crossBetween val="between"/>
      </c:valAx>
      <c:catAx>
        <c:axId val="162516319"/>
        <c:scaling>
          <c:orientation val="minMax"/>
        </c:scaling>
        <c:delete val="1"/>
        <c:axPos val="b"/>
        <c:numFmt formatCode="General" sourceLinked="1"/>
        <c:majorTickMark val="out"/>
        <c:minorTickMark val="none"/>
        <c:tickLblPos val="nextTo"/>
        <c:crossAx val="1625379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1E3AC6C-CC25-4AAE-9FDA-FAEF0CD9C0AC}">
  <sheetPr/>
  <sheetViews>
    <sheetView zoomScale="114"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9299408" cy="6074276"/>
    <xdr:graphicFrame macro="">
      <xdr:nvGraphicFramePr>
        <xdr:cNvPr id="2" name="Chart 1">
          <a:extLst>
            <a:ext uri="{FF2B5EF4-FFF2-40B4-BE49-F238E27FC236}">
              <a16:creationId xmlns:a16="http://schemas.microsoft.com/office/drawing/2014/main" id="{D8BCC832-FD59-B1BA-B393-E6F9A761BC8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0"/>
  <sheetViews>
    <sheetView tabSelected="1" zoomScaleNormal="100" workbookViewId="0">
      <selection activeCell="D8" sqref="D8:D21"/>
    </sheetView>
  </sheetViews>
  <sheetFormatPr defaultRowHeight="15" x14ac:dyDescent="0.25"/>
  <cols>
    <col min="1" max="1" width="27.85546875" customWidth="1"/>
    <col min="2" max="2" width="39.140625" customWidth="1"/>
    <col min="3" max="3" width="12.7109375" style="22" bestFit="1" customWidth="1"/>
    <col min="4" max="4" width="12.7109375" style="22" customWidth="1"/>
    <col min="5" max="5" width="109.28515625" style="3" customWidth="1"/>
    <col min="6" max="21" width="9.140625" style="25"/>
  </cols>
  <sheetData>
    <row r="1" spans="1:5" ht="18.75" x14ac:dyDescent="0.3">
      <c r="A1" s="51" t="s">
        <v>50</v>
      </c>
      <c r="B1" s="51"/>
      <c r="C1" s="51"/>
      <c r="D1" s="51"/>
      <c r="E1" s="51"/>
    </row>
    <row r="2" spans="1:5" ht="15.75" thickBot="1" x14ac:dyDescent="0.3">
      <c r="A2" s="19" t="s">
        <v>0</v>
      </c>
      <c r="B2" s="20" t="s">
        <v>1</v>
      </c>
      <c r="C2" s="21" t="s">
        <v>5</v>
      </c>
      <c r="D2" s="21"/>
      <c r="E2" s="20" t="s">
        <v>6</v>
      </c>
    </row>
    <row r="3" spans="1:5" ht="30" x14ac:dyDescent="0.25">
      <c r="A3" s="45" t="s">
        <v>28</v>
      </c>
      <c r="B3" s="7" t="s">
        <v>2</v>
      </c>
      <c r="C3" s="13">
        <v>30</v>
      </c>
      <c r="D3" s="47">
        <f>SUM(C3:C7)</f>
        <v>300</v>
      </c>
      <c r="E3" s="8" t="s">
        <v>57</v>
      </c>
    </row>
    <row r="4" spans="1:5" ht="30" x14ac:dyDescent="0.25">
      <c r="A4" s="49"/>
      <c r="B4" s="1" t="s">
        <v>3</v>
      </c>
      <c r="C4" s="12">
        <v>30</v>
      </c>
      <c r="D4" s="52"/>
      <c r="E4" s="9" t="s">
        <v>32</v>
      </c>
    </row>
    <row r="5" spans="1:5" x14ac:dyDescent="0.25">
      <c r="A5" s="49"/>
      <c r="B5" s="1" t="s">
        <v>4</v>
      </c>
      <c r="C5" s="12">
        <v>0</v>
      </c>
      <c r="D5" s="52"/>
      <c r="E5" s="9" t="s">
        <v>11</v>
      </c>
    </row>
    <row r="6" spans="1:5" ht="30" x14ac:dyDescent="0.25">
      <c r="A6" s="49"/>
      <c r="B6" s="1" t="s">
        <v>10</v>
      </c>
      <c r="C6" s="12">
        <v>120</v>
      </c>
      <c r="D6" s="52"/>
      <c r="E6" s="9" t="s">
        <v>8</v>
      </c>
    </row>
    <row r="7" spans="1:5" ht="60.75" thickBot="1" x14ac:dyDescent="0.3">
      <c r="A7" s="46"/>
      <c r="B7" s="10" t="s">
        <v>51</v>
      </c>
      <c r="C7" s="14">
        <v>120</v>
      </c>
      <c r="D7" s="48"/>
      <c r="E7" s="11" t="s">
        <v>52</v>
      </c>
    </row>
    <row r="8" spans="1:5" ht="30" x14ac:dyDescent="0.25">
      <c r="A8" s="45" t="s">
        <v>30</v>
      </c>
      <c r="B8" s="16" t="s">
        <v>36</v>
      </c>
      <c r="C8" s="13">
        <v>60</v>
      </c>
      <c r="D8" s="47">
        <f>SUM(C8:C21)</f>
        <v>820</v>
      </c>
      <c r="E8" s="8" t="s">
        <v>12</v>
      </c>
    </row>
    <row r="9" spans="1:5" x14ac:dyDescent="0.25">
      <c r="A9" s="49"/>
      <c r="B9" s="4" t="s">
        <v>37</v>
      </c>
      <c r="C9" s="12">
        <f>5*50</f>
        <v>250</v>
      </c>
      <c r="D9" s="52"/>
      <c r="E9" s="9" t="s">
        <v>14</v>
      </c>
    </row>
    <row r="10" spans="1:5" x14ac:dyDescent="0.25">
      <c r="A10" s="49"/>
      <c r="B10" s="6" t="s">
        <v>15</v>
      </c>
      <c r="C10" s="12">
        <v>120</v>
      </c>
      <c r="D10" s="52"/>
      <c r="E10" s="9" t="s">
        <v>16</v>
      </c>
    </row>
    <row r="11" spans="1:5" ht="30" x14ac:dyDescent="0.25">
      <c r="A11" s="49"/>
      <c r="B11" s="6" t="s">
        <v>9</v>
      </c>
      <c r="C11" s="12">
        <v>120</v>
      </c>
      <c r="D11" s="52"/>
      <c r="E11" s="9" t="s">
        <v>18</v>
      </c>
    </row>
    <row r="12" spans="1:5" ht="45" x14ac:dyDescent="0.25">
      <c r="A12" s="49"/>
      <c r="B12" s="5" t="s">
        <v>13</v>
      </c>
      <c r="C12" s="12">
        <v>30</v>
      </c>
      <c r="D12" s="52"/>
      <c r="E12" s="9" t="s">
        <v>33</v>
      </c>
    </row>
    <row r="13" spans="1:5" x14ac:dyDescent="0.25">
      <c r="A13" s="49"/>
      <c r="B13" s="15" t="s">
        <v>17</v>
      </c>
      <c r="C13" s="12">
        <v>15</v>
      </c>
      <c r="D13" s="52"/>
      <c r="E13" s="9" t="s">
        <v>38</v>
      </c>
    </row>
    <row r="14" spans="1:5" x14ac:dyDescent="0.25">
      <c r="A14" s="49"/>
      <c r="B14" s="6" t="s">
        <v>34</v>
      </c>
      <c r="C14" s="12">
        <v>30</v>
      </c>
      <c r="D14" s="52"/>
      <c r="E14" s="9" t="s">
        <v>35</v>
      </c>
    </row>
    <row r="15" spans="1:5" x14ac:dyDescent="0.25">
      <c r="A15" s="49"/>
      <c r="B15" s="5" t="s">
        <v>19</v>
      </c>
      <c r="C15" s="12">
        <v>30</v>
      </c>
      <c r="D15" s="52"/>
      <c r="E15" s="9"/>
    </row>
    <row r="16" spans="1:5" x14ac:dyDescent="0.25">
      <c r="A16" s="49"/>
      <c r="B16" s="15" t="s">
        <v>20</v>
      </c>
      <c r="C16" s="12">
        <v>15</v>
      </c>
      <c r="D16" s="52"/>
      <c r="E16" s="9" t="s">
        <v>39</v>
      </c>
    </row>
    <row r="17" spans="1:5" x14ac:dyDescent="0.25">
      <c r="A17" s="49"/>
      <c r="B17" s="5" t="s">
        <v>21</v>
      </c>
      <c r="C17" s="12">
        <v>15</v>
      </c>
      <c r="D17" s="52"/>
      <c r="E17" s="9" t="s">
        <v>22</v>
      </c>
    </row>
    <row r="18" spans="1:5" x14ac:dyDescent="0.25">
      <c r="A18" s="49"/>
      <c r="B18" s="15" t="s">
        <v>23</v>
      </c>
      <c r="C18" s="12">
        <v>15</v>
      </c>
      <c r="D18" s="52"/>
      <c r="E18" s="9" t="s">
        <v>40</v>
      </c>
    </row>
    <row r="19" spans="1:5" ht="30" x14ac:dyDescent="0.25">
      <c r="A19" s="49"/>
      <c r="B19" s="5" t="s">
        <v>25</v>
      </c>
      <c r="C19" s="12">
        <v>60</v>
      </c>
      <c r="D19" s="52"/>
      <c r="E19" s="9" t="s">
        <v>26</v>
      </c>
    </row>
    <row r="20" spans="1:5" x14ac:dyDescent="0.25">
      <c r="A20" s="49"/>
      <c r="B20" s="5" t="s">
        <v>24</v>
      </c>
      <c r="C20" s="12">
        <v>30</v>
      </c>
      <c r="D20" s="52"/>
      <c r="E20" s="9"/>
    </row>
    <row r="21" spans="1:5" ht="15.75" thickBot="1" x14ac:dyDescent="0.3">
      <c r="A21" s="50"/>
      <c r="B21" s="30" t="s">
        <v>29</v>
      </c>
      <c r="C21" s="23">
        <v>30</v>
      </c>
      <c r="D21" s="53"/>
      <c r="E21" s="24" t="s">
        <v>41</v>
      </c>
    </row>
    <row r="22" spans="1:5" ht="30" x14ac:dyDescent="0.25">
      <c r="A22" s="45" t="s">
        <v>31</v>
      </c>
      <c r="B22" s="17" t="s">
        <v>7</v>
      </c>
      <c r="C22" s="13">
        <v>30</v>
      </c>
      <c r="D22" s="47">
        <f>SUM(C22:C23)</f>
        <v>60</v>
      </c>
      <c r="E22" s="8" t="s">
        <v>27</v>
      </c>
    </row>
    <row r="23" spans="1:5" ht="15.75" thickBot="1" x14ac:dyDescent="0.3">
      <c r="A23" s="46"/>
      <c r="B23" s="18" t="s">
        <v>56</v>
      </c>
      <c r="C23" s="14">
        <v>30</v>
      </c>
      <c r="D23" s="48"/>
      <c r="E23" s="11" t="s">
        <v>49</v>
      </c>
    </row>
    <row r="24" spans="1:5" s="25" customFormat="1" x14ac:dyDescent="0.25">
      <c r="C24" s="26"/>
      <c r="D24" s="26"/>
      <c r="E24" s="27"/>
    </row>
    <row r="25" spans="1:5" s="25" customFormat="1" x14ac:dyDescent="0.25">
      <c r="B25" s="28" t="s">
        <v>43</v>
      </c>
      <c r="C25" s="29">
        <f>SUM(C3:C23)</f>
        <v>1180</v>
      </c>
      <c r="D25" s="26" t="s">
        <v>48</v>
      </c>
      <c r="E25" s="27"/>
    </row>
    <row r="26" spans="1:5" s="25" customFormat="1" x14ac:dyDescent="0.25">
      <c r="B26" s="28" t="s">
        <v>44</v>
      </c>
      <c r="C26" s="29">
        <f>C25/60</f>
        <v>19.666666666666668</v>
      </c>
      <c r="D26" s="26" t="s">
        <v>47</v>
      </c>
      <c r="E26" s="27"/>
    </row>
    <row r="27" spans="1:5" s="25" customFormat="1" x14ac:dyDescent="0.25">
      <c r="B27" s="28" t="s">
        <v>45</v>
      </c>
      <c r="C27" s="29">
        <f>C26/7.5</f>
        <v>2.6222222222222222</v>
      </c>
      <c r="D27" s="26" t="s">
        <v>46</v>
      </c>
      <c r="E27" s="27"/>
    </row>
    <row r="28" spans="1:5" s="25" customFormat="1" ht="30" x14ac:dyDescent="0.25">
      <c r="B28" s="44" t="s">
        <v>55</v>
      </c>
      <c r="C28" s="29">
        <f>C27*1.5</f>
        <v>3.9333333333333336</v>
      </c>
      <c r="D28" s="26" t="s">
        <v>46</v>
      </c>
      <c r="E28" s="27"/>
    </row>
    <row r="29" spans="1:5" s="25" customFormat="1" x14ac:dyDescent="0.25">
      <c r="C29" s="26"/>
      <c r="D29" s="26"/>
      <c r="E29" s="27"/>
    </row>
    <row r="30" spans="1:5" s="25" customFormat="1" x14ac:dyDescent="0.25">
      <c r="C30" s="26"/>
      <c r="D30" s="26"/>
      <c r="E30" s="27"/>
    </row>
    <row r="31" spans="1:5" s="25" customFormat="1" x14ac:dyDescent="0.25">
      <c r="C31" s="26"/>
      <c r="D31" s="26"/>
      <c r="E31" s="27"/>
    </row>
    <row r="32" spans="1:5" s="25" customFormat="1" x14ac:dyDescent="0.25">
      <c r="C32" s="26"/>
      <c r="D32" s="26"/>
      <c r="E32" s="27"/>
    </row>
    <row r="33" spans="3:5" s="25" customFormat="1" x14ac:dyDescent="0.25">
      <c r="C33" s="26"/>
      <c r="D33" s="26"/>
      <c r="E33" s="27"/>
    </row>
    <row r="34" spans="3:5" s="25" customFormat="1" x14ac:dyDescent="0.25">
      <c r="C34" s="26"/>
      <c r="D34" s="26"/>
      <c r="E34" s="27"/>
    </row>
    <row r="35" spans="3:5" s="25" customFormat="1" x14ac:dyDescent="0.25">
      <c r="C35" s="26"/>
      <c r="D35" s="26"/>
      <c r="E35" s="27"/>
    </row>
    <row r="36" spans="3:5" s="25" customFormat="1" x14ac:dyDescent="0.25">
      <c r="C36" s="26"/>
      <c r="D36" s="26"/>
      <c r="E36" s="27"/>
    </row>
    <row r="37" spans="3:5" s="25" customFormat="1" x14ac:dyDescent="0.25">
      <c r="C37" s="26"/>
      <c r="D37" s="26"/>
      <c r="E37" s="27"/>
    </row>
    <row r="38" spans="3:5" s="25" customFormat="1" x14ac:dyDescent="0.25">
      <c r="C38" s="26"/>
      <c r="D38" s="26"/>
      <c r="E38" s="27"/>
    </row>
    <row r="39" spans="3:5" s="25" customFormat="1" x14ac:dyDescent="0.25">
      <c r="C39" s="26"/>
      <c r="D39" s="26"/>
      <c r="E39" s="27"/>
    </row>
    <row r="40" spans="3:5" s="25" customFormat="1" x14ac:dyDescent="0.25">
      <c r="C40" s="26"/>
      <c r="D40" s="26"/>
      <c r="E40" s="27"/>
    </row>
    <row r="41" spans="3:5" s="25" customFormat="1" x14ac:dyDescent="0.25">
      <c r="C41" s="26"/>
      <c r="D41" s="26"/>
      <c r="E41" s="27"/>
    </row>
    <row r="42" spans="3:5" s="25" customFormat="1" x14ac:dyDescent="0.25">
      <c r="C42" s="26"/>
      <c r="D42" s="26"/>
      <c r="E42" s="27"/>
    </row>
    <row r="43" spans="3:5" s="25" customFormat="1" x14ac:dyDescent="0.25">
      <c r="C43" s="26"/>
      <c r="D43" s="26"/>
      <c r="E43" s="27"/>
    </row>
    <row r="44" spans="3:5" s="25" customFormat="1" x14ac:dyDescent="0.25">
      <c r="C44" s="26"/>
      <c r="D44" s="26"/>
      <c r="E44" s="27"/>
    </row>
    <row r="45" spans="3:5" s="25" customFormat="1" x14ac:dyDescent="0.25">
      <c r="C45" s="26"/>
      <c r="D45" s="26"/>
      <c r="E45" s="27"/>
    </row>
    <row r="46" spans="3:5" s="25" customFormat="1" x14ac:dyDescent="0.25">
      <c r="C46" s="26"/>
      <c r="D46" s="26"/>
      <c r="E46" s="27"/>
    </row>
    <row r="47" spans="3:5" s="25" customFormat="1" x14ac:dyDescent="0.25">
      <c r="C47" s="26"/>
      <c r="D47" s="26"/>
      <c r="E47" s="27"/>
    </row>
    <row r="48" spans="3:5" s="25" customFormat="1" x14ac:dyDescent="0.25">
      <c r="C48" s="26"/>
      <c r="D48" s="26"/>
      <c r="E48" s="27"/>
    </row>
    <row r="49" spans="3:5" s="25" customFormat="1" x14ac:dyDescent="0.25">
      <c r="C49" s="26"/>
      <c r="D49" s="26"/>
      <c r="E49" s="27"/>
    </row>
    <row r="50" spans="3:5" s="25" customFormat="1" x14ac:dyDescent="0.25">
      <c r="C50" s="26"/>
      <c r="D50" s="26"/>
      <c r="E50" s="27"/>
    </row>
    <row r="51" spans="3:5" s="25" customFormat="1" x14ac:dyDescent="0.25">
      <c r="C51" s="26"/>
      <c r="D51" s="26"/>
      <c r="E51" s="27"/>
    </row>
    <row r="52" spans="3:5" s="25" customFormat="1" x14ac:dyDescent="0.25">
      <c r="C52" s="26"/>
      <c r="D52" s="26"/>
      <c r="E52" s="27"/>
    </row>
    <row r="53" spans="3:5" s="25" customFormat="1" x14ac:dyDescent="0.25">
      <c r="C53" s="26"/>
      <c r="D53" s="26"/>
      <c r="E53" s="27"/>
    </row>
    <row r="54" spans="3:5" s="25" customFormat="1" x14ac:dyDescent="0.25">
      <c r="C54" s="26"/>
      <c r="D54" s="26"/>
      <c r="E54" s="27"/>
    </row>
    <row r="55" spans="3:5" s="25" customFormat="1" x14ac:dyDescent="0.25">
      <c r="C55" s="26"/>
      <c r="D55" s="26"/>
      <c r="E55" s="27"/>
    </row>
    <row r="56" spans="3:5" s="25" customFormat="1" x14ac:dyDescent="0.25">
      <c r="C56" s="26"/>
      <c r="D56" s="26"/>
      <c r="E56" s="27"/>
    </row>
    <row r="57" spans="3:5" s="25" customFormat="1" x14ac:dyDescent="0.25">
      <c r="C57" s="26"/>
      <c r="D57" s="26"/>
      <c r="E57" s="27"/>
    </row>
    <row r="58" spans="3:5" s="25" customFormat="1" x14ac:dyDescent="0.25">
      <c r="C58" s="26"/>
      <c r="D58" s="26"/>
      <c r="E58" s="27"/>
    </row>
    <row r="59" spans="3:5" s="25" customFormat="1" x14ac:dyDescent="0.25">
      <c r="C59" s="26"/>
      <c r="D59" s="26"/>
      <c r="E59" s="27"/>
    </row>
    <row r="60" spans="3:5" s="25" customFormat="1" x14ac:dyDescent="0.25">
      <c r="C60" s="26"/>
      <c r="D60" s="26"/>
      <c r="E60" s="27"/>
    </row>
    <row r="61" spans="3:5" s="25" customFormat="1" x14ac:dyDescent="0.25">
      <c r="C61" s="26"/>
      <c r="D61" s="26"/>
      <c r="E61" s="27"/>
    </row>
    <row r="62" spans="3:5" s="25" customFormat="1" x14ac:dyDescent="0.25">
      <c r="C62" s="26"/>
      <c r="D62" s="26"/>
      <c r="E62" s="27"/>
    </row>
    <row r="63" spans="3:5" s="25" customFormat="1" x14ac:dyDescent="0.25">
      <c r="C63" s="26"/>
      <c r="D63" s="26"/>
      <c r="E63" s="27"/>
    </row>
    <row r="64" spans="3:5" s="25" customFormat="1" x14ac:dyDescent="0.25">
      <c r="C64" s="26"/>
      <c r="D64" s="26"/>
      <c r="E64" s="27"/>
    </row>
    <row r="65" spans="3:5" s="25" customFormat="1" x14ac:dyDescent="0.25">
      <c r="C65" s="26"/>
      <c r="D65" s="26"/>
      <c r="E65" s="27"/>
    </row>
    <row r="66" spans="3:5" s="25" customFormat="1" x14ac:dyDescent="0.25">
      <c r="C66" s="26"/>
      <c r="D66" s="26"/>
      <c r="E66" s="27"/>
    </row>
    <row r="67" spans="3:5" s="25" customFormat="1" x14ac:dyDescent="0.25">
      <c r="C67" s="26"/>
      <c r="D67" s="26"/>
      <c r="E67" s="27"/>
    </row>
    <row r="68" spans="3:5" s="25" customFormat="1" x14ac:dyDescent="0.25">
      <c r="C68" s="26"/>
      <c r="D68" s="26"/>
      <c r="E68" s="27"/>
    </row>
    <row r="69" spans="3:5" s="25" customFormat="1" x14ac:dyDescent="0.25">
      <c r="C69" s="26"/>
      <c r="D69" s="26"/>
      <c r="E69" s="27"/>
    </row>
    <row r="70" spans="3:5" s="25" customFormat="1" x14ac:dyDescent="0.25">
      <c r="C70" s="26"/>
      <c r="D70" s="26"/>
      <c r="E70" s="27"/>
    </row>
    <row r="71" spans="3:5" s="25" customFormat="1" x14ac:dyDescent="0.25">
      <c r="C71" s="26"/>
      <c r="D71" s="26"/>
      <c r="E71" s="27"/>
    </row>
    <row r="72" spans="3:5" s="25" customFormat="1" x14ac:dyDescent="0.25">
      <c r="C72" s="26"/>
      <c r="D72" s="26"/>
      <c r="E72" s="27"/>
    </row>
    <row r="73" spans="3:5" s="25" customFormat="1" x14ac:dyDescent="0.25">
      <c r="C73" s="26"/>
      <c r="D73" s="26"/>
      <c r="E73" s="27"/>
    </row>
    <row r="74" spans="3:5" s="25" customFormat="1" x14ac:dyDescent="0.25">
      <c r="C74" s="26"/>
      <c r="D74" s="26"/>
      <c r="E74" s="27"/>
    </row>
    <row r="75" spans="3:5" s="25" customFormat="1" x14ac:dyDescent="0.25">
      <c r="C75" s="26"/>
      <c r="D75" s="26"/>
      <c r="E75" s="27"/>
    </row>
    <row r="76" spans="3:5" s="25" customFormat="1" x14ac:dyDescent="0.25">
      <c r="C76" s="26"/>
      <c r="D76" s="26"/>
      <c r="E76" s="27"/>
    </row>
    <row r="77" spans="3:5" s="25" customFormat="1" x14ac:dyDescent="0.25">
      <c r="C77" s="26"/>
      <c r="D77" s="26"/>
      <c r="E77" s="27"/>
    </row>
    <row r="78" spans="3:5" s="25" customFormat="1" x14ac:dyDescent="0.25">
      <c r="C78" s="26"/>
      <c r="D78" s="26"/>
      <c r="E78" s="27"/>
    </row>
    <row r="79" spans="3:5" s="25" customFormat="1" x14ac:dyDescent="0.25">
      <c r="C79" s="26"/>
      <c r="D79" s="26"/>
      <c r="E79" s="27"/>
    </row>
    <row r="80" spans="3:5" s="25" customFormat="1" x14ac:dyDescent="0.25">
      <c r="C80" s="26"/>
      <c r="D80" s="26"/>
      <c r="E80" s="27"/>
    </row>
    <row r="81" spans="3:5" s="25" customFormat="1" x14ac:dyDescent="0.25">
      <c r="C81" s="26"/>
      <c r="D81" s="26"/>
      <c r="E81" s="27"/>
    </row>
    <row r="82" spans="3:5" s="25" customFormat="1" x14ac:dyDescent="0.25">
      <c r="C82" s="26"/>
      <c r="D82" s="26"/>
      <c r="E82" s="27"/>
    </row>
    <row r="83" spans="3:5" s="25" customFormat="1" x14ac:dyDescent="0.25">
      <c r="C83" s="26"/>
      <c r="D83" s="26"/>
      <c r="E83" s="27"/>
    </row>
    <row r="84" spans="3:5" s="25" customFormat="1" x14ac:dyDescent="0.25">
      <c r="C84" s="26"/>
      <c r="D84" s="26"/>
      <c r="E84" s="27"/>
    </row>
    <row r="85" spans="3:5" s="25" customFormat="1" x14ac:dyDescent="0.25">
      <c r="C85" s="26"/>
      <c r="D85" s="26"/>
      <c r="E85" s="27"/>
    </row>
    <row r="86" spans="3:5" s="25" customFormat="1" x14ac:dyDescent="0.25">
      <c r="C86" s="26"/>
      <c r="D86" s="26"/>
      <c r="E86" s="27"/>
    </row>
    <row r="87" spans="3:5" s="25" customFormat="1" x14ac:dyDescent="0.25">
      <c r="C87" s="26"/>
      <c r="D87" s="26"/>
      <c r="E87" s="27"/>
    </row>
    <row r="88" spans="3:5" s="25" customFormat="1" x14ac:dyDescent="0.25">
      <c r="C88" s="26"/>
      <c r="D88" s="26"/>
      <c r="E88" s="27"/>
    </row>
    <row r="89" spans="3:5" s="25" customFormat="1" x14ac:dyDescent="0.25">
      <c r="C89" s="26"/>
      <c r="D89" s="26"/>
      <c r="E89" s="27"/>
    </row>
    <row r="90" spans="3:5" s="25" customFormat="1" x14ac:dyDescent="0.25">
      <c r="C90" s="26"/>
      <c r="D90" s="26"/>
      <c r="E90" s="27"/>
    </row>
    <row r="91" spans="3:5" s="25" customFormat="1" x14ac:dyDescent="0.25">
      <c r="C91" s="26"/>
      <c r="D91" s="26"/>
      <c r="E91" s="27"/>
    </row>
    <row r="92" spans="3:5" s="25" customFormat="1" x14ac:dyDescent="0.25">
      <c r="C92" s="26"/>
      <c r="D92" s="26"/>
      <c r="E92" s="27"/>
    </row>
    <row r="93" spans="3:5" s="25" customFormat="1" x14ac:dyDescent="0.25">
      <c r="C93" s="26"/>
      <c r="D93" s="26"/>
      <c r="E93" s="27"/>
    </row>
    <row r="94" spans="3:5" s="25" customFormat="1" x14ac:dyDescent="0.25">
      <c r="C94" s="26"/>
      <c r="D94" s="26"/>
      <c r="E94" s="27"/>
    </row>
    <row r="95" spans="3:5" s="25" customFormat="1" x14ac:dyDescent="0.25">
      <c r="C95" s="26"/>
      <c r="D95" s="26"/>
      <c r="E95" s="27"/>
    </row>
    <row r="96" spans="3:5" s="25" customFormat="1" x14ac:dyDescent="0.25">
      <c r="C96" s="26"/>
      <c r="D96" s="26"/>
      <c r="E96" s="27"/>
    </row>
    <row r="97" spans="3:5" s="25" customFormat="1" x14ac:dyDescent="0.25">
      <c r="C97" s="26"/>
      <c r="D97" s="26"/>
      <c r="E97" s="27"/>
    </row>
    <row r="98" spans="3:5" s="25" customFormat="1" x14ac:dyDescent="0.25">
      <c r="C98" s="26"/>
      <c r="D98" s="26"/>
      <c r="E98" s="27"/>
    </row>
    <row r="99" spans="3:5" s="25" customFormat="1" x14ac:dyDescent="0.25">
      <c r="C99" s="26"/>
      <c r="D99" s="26"/>
      <c r="E99" s="27"/>
    </row>
    <row r="100" spans="3:5" s="25" customFormat="1" x14ac:dyDescent="0.25">
      <c r="C100" s="26"/>
      <c r="D100" s="26"/>
      <c r="E100" s="27"/>
    </row>
    <row r="101" spans="3:5" s="25" customFormat="1" x14ac:dyDescent="0.25">
      <c r="C101" s="26"/>
      <c r="D101" s="26"/>
      <c r="E101" s="27"/>
    </row>
    <row r="102" spans="3:5" s="25" customFormat="1" x14ac:dyDescent="0.25">
      <c r="C102" s="26"/>
      <c r="D102" s="26"/>
      <c r="E102" s="27"/>
    </row>
    <row r="103" spans="3:5" s="25" customFormat="1" x14ac:dyDescent="0.25">
      <c r="C103" s="26"/>
      <c r="D103" s="26"/>
      <c r="E103" s="27"/>
    </row>
    <row r="104" spans="3:5" s="25" customFormat="1" x14ac:dyDescent="0.25">
      <c r="C104" s="26"/>
      <c r="D104" s="26"/>
      <c r="E104" s="27"/>
    </row>
    <row r="105" spans="3:5" s="25" customFormat="1" x14ac:dyDescent="0.25">
      <c r="C105" s="26"/>
      <c r="D105" s="26"/>
      <c r="E105" s="27"/>
    </row>
    <row r="106" spans="3:5" s="25" customFormat="1" x14ac:dyDescent="0.25">
      <c r="C106" s="26"/>
      <c r="D106" s="26"/>
      <c r="E106" s="27"/>
    </row>
    <row r="107" spans="3:5" s="25" customFormat="1" x14ac:dyDescent="0.25">
      <c r="C107" s="26"/>
      <c r="D107" s="26"/>
      <c r="E107" s="27"/>
    </row>
    <row r="108" spans="3:5" s="25" customFormat="1" x14ac:dyDescent="0.25">
      <c r="C108" s="26"/>
      <c r="D108" s="26"/>
      <c r="E108" s="27"/>
    </row>
    <row r="109" spans="3:5" s="25" customFormat="1" x14ac:dyDescent="0.25">
      <c r="C109" s="26"/>
      <c r="D109" s="26"/>
      <c r="E109" s="27"/>
    </row>
    <row r="110" spans="3:5" s="25" customFormat="1" x14ac:dyDescent="0.25">
      <c r="C110" s="26"/>
      <c r="D110" s="26"/>
      <c r="E110" s="27"/>
    </row>
    <row r="111" spans="3:5" s="25" customFormat="1" x14ac:dyDescent="0.25">
      <c r="C111" s="26"/>
      <c r="D111" s="26"/>
      <c r="E111" s="27"/>
    </row>
    <row r="112" spans="3:5" s="25" customFormat="1" x14ac:dyDescent="0.25">
      <c r="C112" s="26"/>
      <c r="D112" s="26"/>
      <c r="E112" s="27"/>
    </row>
    <row r="113" spans="3:5" s="25" customFormat="1" x14ac:dyDescent="0.25">
      <c r="C113" s="26"/>
      <c r="D113" s="26"/>
      <c r="E113" s="27"/>
    </row>
    <row r="114" spans="3:5" s="25" customFormat="1" x14ac:dyDescent="0.25">
      <c r="C114" s="26"/>
      <c r="D114" s="26"/>
      <c r="E114" s="27"/>
    </row>
    <row r="115" spans="3:5" s="25" customFormat="1" x14ac:dyDescent="0.25">
      <c r="C115" s="26"/>
      <c r="D115" s="26"/>
      <c r="E115" s="27"/>
    </row>
    <row r="116" spans="3:5" s="25" customFormat="1" x14ac:dyDescent="0.25">
      <c r="C116" s="26"/>
      <c r="D116" s="26"/>
      <c r="E116" s="27"/>
    </row>
    <row r="117" spans="3:5" s="25" customFormat="1" x14ac:dyDescent="0.25">
      <c r="C117" s="26"/>
      <c r="D117" s="26"/>
      <c r="E117" s="27"/>
    </row>
    <row r="118" spans="3:5" s="25" customFormat="1" x14ac:dyDescent="0.25">
      <c r="C118" s="26"/>
      <c r="D118" s="26"/>
      <c r="E118" s="27"/>
    </row>
    <row r="119" spans="3:5" s="25" customFormat="1" x14ac:dyDescent="0.25">
      <c r="C119" s="26"/>
      <c r="D119" s="26"/>
      <c r="E119" s="27"/>
    </row>
    <row r="120" spans="3:5" s="25" customFormat="1" x14ac:dyDescent="0.25">
      <c r="C120" s="26"/>
      <c r="D120" s="26"/>
      <c r="E120" s="27"/>
    </row>
    <row r="121" spans="3:5" s="25" customFormat="1" x14ac:dyDescent="0.25">
      <c r="C121" s="26"/>
      <c r="D121" s="26"/>
      <c r="E121" s="27"/>
    </row>
    <row r="122" spans="3:5" s="25" customFormat="1" x14ac:dyDescent="0.25">
      <c r="C122" s="26"/>
      <c r="D122" s="26"/>
      <c r="E122" s="27"/>
    </row>
    <row r="123" spans="3:5" s="25" customFormat="1" x14ac:dyDescent="0.25">
      <c r="C123" s="26"/>
      <c r="D123" s="26"/>
      <c r="E123" s="27"/>
    </row>
    <row r="124" spans="3:5" s="25" customFormat="1" x14ac:dyDescent="0.25">
      <c r="C124" s="26"/>
      <c r="D124" s="26"/>
      <c r="E124" s="27"/>
    </row>
    <row r="125" spans="3:5" s="25" customFormat="1" x14ac:dyDescent="0.25">
      <c r="C125" s="26"/>
      <c r="D125" s="26"/>
      <c r="E125" s="27"/>
    </row>
    <row r="126" spans="3:5" s="25" customFormat="1" x14ac:dyDescent="0.25">
      <c r="C126" s="26"/>
      <c r="D126" s="26"/>
      <c r="E126" s="27"/>
    </row>
    <row r="127" spans="3:5" s="25" customFormat="1" x14ac:dyDescent="0.25">
      <c r="C127" s="26"/>
      <c r="D127" s="26"/>
      <c r="E127" s="27"/>
    </row>
    <row r="128" spans="3:5" s="25" customFormat="1" x14ac:dyDescent="0.25">
      <c r="C128" s="26"/>
      <c r="D128" s="26"/>
      <c r="E128" s="27"/>
    </row>
    <row r="129" spans="3:5" s="25" customFormat="1" x14ac:dyDescent="0.25">
      <c r="C129" s="26"/>
      <c r="D129" s="26"/>
      <c r="E129" s="27"/>
    </row>
    <row r="130" spans="3:5" s="25" customFormat="1" x14ac:dyDescent="0.25">
      <c r="C130" s="26"/>
      <c r="D130" s="26"/>
      <c r="E130" s="27"/>
    </row>
    <row r="131" spans="3:5" s="25" customFormat="1" x14ac:dyDescent="0.25">
      <c r="C131" s="26"/>
      <c r="D131" s="26"/>
      <c r="E131" s="27"/>
    </row>
    <row r="132" spans="3:5" s="25" customFormat="1" x14ac:dyDescent="0.25">
      <c r="C132" s="26"/>
      <c r="D132" s="26"/>
      <c r="E132" s="27"/>
    </row>
    <row r="133" spans="3:5" s="25" customFormat="1" x14ac:dyDescent="0.25">
      <c r="C133" s="26"/>
      <c r="D133" s="26"/>
      <c r="E133" s="27"/>
    </row>
    <row r="134" spans="3:5" s="25" customFormat="1" x14ac:dyDescent="0.25">
      <c r="C134" s="26"/>
      <c r="D134" s="26"/>
      <c r="E134" s="27"/>
    </row>
    <row r="135" spans="3:5" s="25" customFormat="1" x14ac:dyDescent="0.25">
      <c r="C135" s="26"/>
      <c r="D135" s="26"/>
      <c r="E135" s="27"/>
    </row>
    <row r="136" spans="3:5" s="25" customFormat="1" x14ac:dyDescent="0.25">
      <c r="C136" s="26"/>
      <c r="D136" s="26"/>
      <c r="E136" s="27"/>
    </row>
    <row r="137" spans="3:5" s="25" customFormat="1" x14ac:dyDescent="0.25">
      <c r="C137" s="26"/>
      <c r="D137" s="26"/>
      <c r="E137" s="27"/>
    </row>
    <row r="138" spans="3:5" s="25" customFormat="1" x14ac:dyDescent="0.25">
      <c r="C138" s="26"/>
      <c r="D138" s="26"/>
      <c r="E138" s="27"/>
    </row>
    <row r="139" spans="3:5" s="25" customFormat="1" x14ac:dyDescent="0.25">
      <c r="C139" s="26"/>
      <c r="D139" s="26"/>
      <c r="E139" s="27"/>
    </row>
    <row r="140" spans="3:5" s="25" customFormat="1" x14ac:dyDescent="0.25">
      <c r="C140" s="26"/>
      <c r="D140" s="26"/>
      <c r="E140" s="27"/>
    </row>
    <row r="141" spans="3:5" s="25" customFormat="1" x14ac:dyDescent="0.25">
      <c r="C141" s="26"/>
      <c r="D141" s="26"/>
      <c r="E141" s="27"/>
    </row>
    <row r="142" spans="3:5" s="25" customFormat="1" x14ac:dyDescent="0.25">
      <c r="C142" s="26"/>
      <c r="D142" s="26"/>
      <c r="E142" s="27"/>
    </row>
    <row r="143" spans="3:5" s="25" customFormat="1" x14ac:dyDescent="0.25">
      <c r="C143" s="26"/>
      <c r="D143" s="26"/>
      <c r="E143" s="27"/>
    </row>
    <row r="144" spans="3:5" s="25" customFormat="1" x14ac:dyDescent="0.25">
      <c r="C144" s="26"/>
      <c r="D144" s="26"/>
      <c r="E144" s="27"/>
    </row>
    <row r="145" spans="3:5" s="25" customFormat="1" x14ac:dyDescent="0.25">
      <c r="C145" s="26"/>
      <c r="D145" s="26"/>
      <c r="E145" s="27"/>
    </row>
    <row r="146" spans="3:5" s="25" customFormat="1" x14ac:dyDescent="0.25">
      <c r="C146" s="26"/>
      <c r="D146" s="26"/>
      <c r="E146" s="27"/>
    </row>
    <row r="147" spans="3:5" s="25" customFormat="1" x14ac:dyDescent="0.25">
      <c r="C147" s="26"/>
      <c r="D147" s="26"/>
      <c r="E147" s="27"/>
    </row>
    <row r="148" spans="3:5" s="25" customFormat="1" x14ac:dyDescent="0.25">
      <c r="C148" s="26"/>
      <c r="D148" s="26"/>
      <c r="E148" s="27"/>
    </row>
    <row r="149" spans="3:5" s="25" customFormat="1" x14ac:dyDescent="0.25">
      <c r="C149" s="26"/>
      <c r="D149" s="26"/>
      <c r="E149" s="27"/>
    </row>
    <row r="150" spans="3:5" s="25" customFormat="1" x14ac:dyDescent="0.25">
      <c r="C150" s="26"/>
      <c r="D150" s="26"/>
      <c r="E150" s="27"/>
    </row>
    <row r="151" spans="3:5" s="25" customFormat="1" x14ac:dyDescent="0.25">
      <c r="C151" s="26"/>
      <c r="D151" s="26"/>
      <c r="E151" s="27"/>
    </row>
    <row r="152" spans="3:5" s="25" customFormat="1" x14ac:dyDescent="0.25">
      <c r="C152" s="26"/>
      <c r="D152" s="26"/>
      <c r="E152" s="27"/>
    </row>
    <row r="153" spans="3:5" s="25" customFormat="1" x14ac:dyDescent="0.25">
      <c r="C153" s="26"/>
      <c r="D153" s="26"/>
      <c r="E153" s="27"/>
    </row>
    <row r="154" spans="3:5" s="25" customFormat="1" x14ac:dyDescent="0.25">
      <c r="C154" s="26"/>
      <c r="D154" s="26"/>
      <c r="E154" s="27"/>
    </row>
    <row r="155" spans="3:5" s="25" customFormat="1" x14ac:dyDescent="0.25">
      <c r="C155" s="26"/>
      <c r="D155" s="26"/>
      <c r="E155" s="27"/>
    </row>
    <row r="156" spans="3:5" s="25" customFormat="1" x14ac:dyDescent="0.25">
      <c r="C156" s="26"/>
      <c r="D156" s="26"/>
      <c r="E156" s="27"/>
    </row>
    <row r="157" spans="3:5" s="25" customFormat="1" x14ac:dyDescent="0.25">
      <c r="C157" s="26"/>
      <c r="D157" s="26"/>
      <c r="E157" s="27"/>
    </row>
    <row r="158" spans="3:5" s="25" customFormat="1" x14ac:dyDescent="0.25">
      <c r="C158" s="26"/>
      <c r="D158" s="26"/>
      <c r="E158" s="27"/>
    </row>
    <row r="159" spans="3:5" s="25" customFormat="1" x14ac:dyDescent="0.25">
      <c r="C159" s="26"/>
      <c r="D159" s="26"/>
      <c r="E159" s="27"/>
    </row>
    <row r="160" spans="3:5" s="25" customFormat="1" x14ac:dyDescent="0.25">
      <c r="C160" s="26"/>
      <c r="D160" s="26"/>
      <c r="E160" s="27"/>
    </row>
    <row r="161" spans="3:5" s="25" customFormat="1" x14ac:dyDescent="0.25">
      <c r="C161" s="26"/>
      <c r="D161" s="26"/>
      <c r="E161" s="27"/>
    </row>
    <row r="162" spans="3:5" s="25" customFormat="1" x14ac:dyDescent="0.25">
      <c r="C162" s="26"/>
      <c r="D162" s="26"/>
      <c r="E162" s="27"/>
    </row>
    <row r="163" spans="3:5" s="25" customFormat="1" x14ac:dyDescent="0.25">
      <c r="C163" s="26"/>
      <c r="D163" s="26"/>
      <c r="E163" s="27"/>
    </row>
    <row r="164" spans="3:5" s="25" customFormat="1" x14ac:dyDescent="0.25">
      <c r="C164" s="26"/>
      <c r="D164" s="26"/>
      <c r="E164" s="27"/>
    </row>
    <row r="165" spans="3:5" s="25" customFormat="1" x14ac:dyDescent="0.25">
      <c r="C165" s="26"/>
      <c r="D165" s="26"/>
      <c r="E165" s="27"/>
    </row>
    <row r="166" spans="3:5" s="25" customFormat="1" x14ac:dyDescent="0.25">
      <c r="C166" s="26"/>
      <c r="D166" s="26"/>
      <c r="E166" s="27"/>
    </row>
    <row r="167" spans="3:5" s="25" customFormat="1" x14ac:dyDescent="0.25">
      <c r="C167" s="26"/>
      <c r="D167" s="26"/>
      <c r="E167" s="27"/>
    </row>
    <row r="168" spans="3:5" s="25" customFormat="1" x14ac:dyDescent="0.25">
      <c r="C168" s="26"/>
      <c r="D168" s="26"/>
      <c r="E168" s="27"/>
    </row>
    <row r="169" spans="3:5" s="25" customFormat="1" x14ac:dyDescent="0.25">
      <c r="C169" s="26"/>
      <c r="D169" s="26"/>
      <c r="E169" s="27"/>
    </row>
    <row r="170" spans="3:5" s="25" customFormat="1" x14ac:dyDescent="0.25">
      <c r="C170" s="26"/>
      <c r="D170" s="26"/>
      <c r="E170" s="27"/>
    </row>
    <row r="171" spans="3:5" s="25" customFormat="1" x14ac:dyDescent="0.25">
      <c r="C171" s="26"/>
      <c r="D171" s="26"/>
      <c r="E171" s="27"/>
    </row>
    <row r="172" spans="3:5" s="25" customFormat="1" x14ac:dyDescent="0.25">
      <c r="C172" s="26"/>
      <c r="D172" s="26"/>
      <c r="E172" s="27"/>
    </row>
    <row r="173" spans="3:5" s="25" customFormat="1" x14ac:dyDescent="0.25">
      <c r="C173" s="26"/>
      <c r="D173" s="26"/>
      <c r="E173" s="27"/>
    </row>
    <row r="174" spans="3:5" s="25" customFormat="1" x14ac:dyDescent="0.25">
      <c r="C174" s="26"/>
      <c r="D174" s="26"/>
      <c r="E174" s="27"/>
    </row>
    <row r="175" spans="3:5" s="25" customFormat="1" x14ac:dyDescent="0.25">
      <c r="C175" s="26"/>
      <c r="D175" s="26"/>
      <c r="E175" s="27"/>
    </row>
    <row r="176" spans="3:5" s="25" customFormat="1" x14ac:dyDescent="0.25">
      <c r="C176" s="26"/>
      <c r="D176" s="26"/>
      <c r="E176" s="27"/>
    </row>
    <row r="177" spans="3:5" s="25" customFormat="1" x14ac:dyDescent="0.25">
      <c r="C177" s="26"/>
      <c r="D177" s="26"/>
      <c r="E177" s="27"/>
    </row>
    <row r="178" spans="3:5" s="25" customFormat="1" x14ac:dyDescent="0.25">
      <c r="C178" s="26"/>
      <c r="D178" s="26"/>
      <c r="E178" s="27"/>
    </row>
    <row r="179" spans="3:5" s="25" customFormat="1" x14ac:dyDescent="0.25">
      <c r="C179" s="26"/>
      <c r="D179" s="26"/>
      <c r="E179" s="27"/>
    </row>
    <row r="180" spans="3:5" s="25" customFormat="1" x14ac:dyDescent="0.25">
      <c r="C180" s="26"/>
      <c r="D180" s="26"/>
      <c r="E180" s="27"/>
    </row>
    <row r="181" spans="3:5" s="25" customFormat="1" x14ac:dyDescent="0.25">
      <c r="C181" s="26"/>
      <c r="D181" s="26"/>
      <c r="E181" s="27"/>
    </row>
    <row r="182" spans="3:5" s="25" customFormat="1" x14ac:dyDescent="0.25">
      <c r="C182" s="26"/>
      <c r="D182" s="26"/>
      <c r="E182" s="27"/>
    </row>
    <row r="183" spans="3:5" s="25" customFormat="1" x14ac:dyDescent="0.25">
      <c r="C183" s="26"/>
      <c r="D183" s="26"/>
      <c r="E183" s="27"/>
    </row>
    <row r="184" spans="3:5" s="25" customFormat="1" x14ac:dyDescent="0.25">
      <c r="C184" s="26"/>
      <c r="D184" s="26"/>
      <c r="E184" s="27"/>
    </row>
    <row r="185" spans="3:5" s="25" customFormat="1" x14ac:dyDescent="0.25">
      <c r="C185" s="26"/>
      <c r="D185" s="26"/>
      <c r="E185" s="27"/>
    </row>
    <row r="186" spans="3:5" s="25" customFormat="1" x14ac:dyDescent="0.25">
      <c r="C186" s="26"/>
      <c r="D186" s="26"/>
      <c r="E186" s="27"/>
    </row>
    <row r="187" spans="3:5" s="25" customFormat="1" x14ac:dyDescent="0.25">
      <c r="C187" s="26"/>
      <c r="D187" s="26"/>
      <c r="E187" s="27"/>
    </row>
    <row r="188" spans="3:5" s="25" customFormat="1" x14ac:dyDescent="0.25">
      <c r="C188" s="26"/>
      <c r="D188" s="26"/>
      <c r="E188" s="27"/>
    </row>
    <row r="189" spans="3:5" s="25" customFormat="1" x14ac:dyDescent="0.25">
      <c r="C189" s="26"/>
      <c r="D189" s="26"/>
      <c r="E189" s="27"/>
    </row>
    <row r="190" spans="3:5" s="25" customFormat="1" x14ac:dyDescent="0.25">
      <c r="C190" s="26"/>
      <c r="D190" s="26"/>
      <c r="E190" s="27"/>
    </row>
    <row r="191" spans="3:5" s="25" customFormat="1" x14ac:dyDescent="0.25">
      <c r="C191" s="26"/>
      <c r="D191" s="26"/>
      <c r="E191" s="27"/>
    </row>
    <row r="192" spans="3:5" s="25" customFormat="1" x14ac:dyDescent="0.25">
      <c r="C192" s="26"/>
      <c r="D192" s="26"/>
      <c r="E192" s="27"/>
    </row>
    <row r="193" spans="3:5" s="25" customFormat="1" x14ac:dyDescent="0.25">
      <c r="C193" s="26"/>
      <c r="D193" s="26"/>
      <c r="E193" s="27"/>
    </row>
    <row r="194" spans="3:5" s="25" customFormat="1" x14ac:dyDescent="0.25">
      <c r="C194" s="26"/>
      <c r="D194" s="26"/>
      <c r="E194" s="27"/>
    </row>
    <row r="195" spans="3:5" s="25" customFormat="1" x14ac:dyDescent="0.25">
      <c r="C195" s="26"/>
      <c r="D195" s="26"/>
      <c r="E195" s="27"/>
    </row>
    <row r="196" spans="3:5" s="25" customFormat="1" x14ac:dyDescent="0.25">
      <c r="C196" s="26"/>
      <c r="D196" s="26"/>
      <c r="E196" s="27"/>
    </row>
    <row r="197" spans="3:5" s="25" customFormat="1" x14ac:dyDescent="0.25">
      <c r="C197" s="26"/>
      <c r="D197" s="26"/>
      <c r="E197" s="27"/>
    </row>
    <row r="198" spans="3:5" s="25" customFormat="1" x14ac:dyDescent="0.25">
      <c r="C198" s="26"/>
      <c r="D198" s="26"/>
      <c r="E198" s="27"/>
    </row>
    <row r="199" spans="3:5" s="25" customFormat="1" x14ac:dyDescent="0.25">
      <c r="C199" s="26"/>
      <c r="D199" s="26"/>
      <c r="E199" s="27"/>
    </row>
    <row r="200" spans="3:5" s="25" customFormat="1" x14ac:dyDescent="0.25">
      <c r="C200" s="26"/>
      <c r="D200" s="26"/>
      <c r="E200" s="27"/>
    </row>
    <row r="201" spans="3:5" s="25" customFormat="1" x14ac:dyDescent="0.25">
      <c r="C201" s="26"/>
      <c r="D201" s="26"/>
      <c r="E201" s="27"/>
    </row>
    <row r="202" spans="3:5" s="25" customFormat="1" x14ac:dyDescent="0.25">
      <c r="C202" s="26"/>
      <c r="D202" s="26"/>
      <c r="E202" s="27"/>
    </row>
    <row r="203" spans="3:5" s="25" customFormat="1" x14ac:dyDescent="0.25">
      <c r="C203" s="26"/>
      <c r="D203" s="26"/>
      <c r="E203" s="27"/>
    </row>
    <row r="204" spans="3:5" s="25" customFormat="1" x14ac:dyDescent="0.25">
      <c r="C204" s="26"/>
      <c r="D204" s="26"/>
      <c r="E204" s="27"/>
    </row>
    <row r="205" spans="3:5" s="25" customFormat="1" x14ac:dyDescent="0.25">
      <c r="C205" s="26"/>
      <c r="D205" s="26"/>
      <c r="E205" s="27"/>
    </row>
    <row r="206" spans="3:5" s="25" customFormat="1" x14ac:dyDescent="0.25">
      <c r="C206" s="26"/>
      <c r="D206" s="26"/>
      <c r="E206" s="27"/>
    </row>
    <row r="207" spans="3:5" s="25" customFormat="1" x14ac:dyDescent="0.25">
      <c r="C207" s="26"/>
      <c r="D207" s="26"/>
      <c r="E207" s="27"/>
    </row>
    <row r="208" spans="3:5" s="25" customFormat="1" x14ac:dyDescent="0.25">
      <c r="C208" s="26"/>
      <c r="D208" s="26"/>
      <c r="E208" s="27"/>
    </row>
    <row r="209" spans="3:5" s="25" customFormat="1" x14ac:dyDescent="0.25">
      <c r="C209" s="26"/>
      <c r="D209" s="26"/>
      <c r="E209" s="27"/>
    </row>
    <row r="210" spans="3:5" s="25" customFormat="1" x14ac:dyDescent="0.25">
      <c r="C210" s="26"/>
      <c r="D210" s="26"/>
      <c r="E210" s="27"/>
    </row>
    <row r="211" spans="3:5" s="25" customFormat="1" x14ac:dyDescent="0.25">
      <c r="C211" s="26"/>
      <c r="D211" s="26"/>
      <c r="E211" s="27"/>
    </row>
    <row r="212" spans="3:5" s="25" customFormat="1" x14ac:dyDescent="0.25">
      <c r="C212" s="26"/>
      <c r="D212" s="26"/>
      <c r="E212" s="27"/>
    </row>
    <row r="213" spans="3:5" s="25" customFormat="1" x14ac:dyDescent="0.25">
      <c r="C213" s="26"/>
      <c r="D213" s="26"/>
      <c r="E213" s="27"/>
    </row>
    <row r="214" spans="3:5" s="25" customFormat="1" x14ac:dyDescent="0.25">
      <c r="C214" s="26"/>
      <c r="D214" s="26"/>
      <c r="E214" s="27"/>
    </row>
    <row r="215" spans="3:5" s="25" customFormat="1" x14ac:dyDescent="0.25">
      <c r="C215" s="26"/>
      <c r="D215" s="26"/>
      <c r="E215" s="27"/>
    </row>
    <row r="216" spans="3:5" s="25" customFormat="1" x14ac:dyDescent="0.25">
      <c r="C216" s="26"/>
      <c r="D216" s="26"/>
      <c r="E216" s="27"/>
    </row>
    <row r="217" spans="3:5" s="25" customFormat="1" x14ac:dyDescent="0.25">
      <c r="C217" s="26"/>
      <c r="D217" s="26"/>
      <c r="E217" s="27"/>
    </row>
    <row r="218" spans="3:5" s="25" customFormat="1" x14ac:dyDescent="0.25">
      <c r="C218" s="26"/>
      <c r="D218" s="26"/>
      <c r="E218" s="27"/>
    </row>
    <row r="219" spans="3:5" s="25" customFormat="1" x14ac:dyDescent="0.25">
      <c r="C219" s="26"/>
      <c r="D219" s="26"/>
      <c r="E219" s="27"/>
    </row>
    <row r="220" spans="3:5" s="25" customFormat="1" x14ac:dyDescent="0.25">
      <c r="C220" s="26"/>
      <c r="D220" s="26"/>
      <c r="E220" s="27"/>
    </row>
    <row r="221" spans="3:5" s="25" customFormat="1" x14ac:dyDescent="0.25">
      <c r="C221" s="26"/>
      <c r="D221" s="26"/>
      <c r="E221" s="27"/>
    </row>
    <row r="222" spans="3:5" s="25" customFormat="1" x14ac:dyDescent="0.25">
      <c r="C222" s="26"/>
      <c r="D222" s="26"/>
      <c r="E222" s="27"/>
    </row>
    <row r="223" spans="3:5" s="25" customFormat="1" x14ac:dyDescent="0.25">
      <c r="C223" s="26"/>
      <c r="D223" s="26"/>
      <c r="E223" s="27"/>
    </row>
    <row r="224" spans="3:5" s="25" customFormat="1" x14ac:dyDescent="0.25">
      <c r="C224" s="26"/>
      <c r="D224" s="26"/>
      <c r="E224" s="27"/>
    </row>
    <row r="225" spans="3:5" s="25" customFormat="1" x14ac:dyDescent="0.25">
      <c r="C225" s="26"/>
      <c r="D225" s="26"/>
      <c r="E225" s="27"/>
    </row>
    <row r="226" spans="3:5" s="25" customFormat="1" x14ac:dyDescent="0.25">
      <c r="C226" s="26"/>
      <c r="D226" s="26"/>
      <c r="E226" s="27"/>
    </row>
    <row r="227" spans="3:5" s="25" customFormat="1" x14ac:dyDescent="0.25">
      <c r="C227" s="26"/>
      <c r="D227" s="26"/>
      <c r="E227" s="27"/>
    </row>
    <row r="228" spans="3:5" s="25" customFormat="1" x14ac:dyDescent="0.25">
      <c r="C228" s="26"/>
      <c r="D228" s="26"/>
      <c r="E228" s="27"/>
    </row>
    <row r="229" spans="3:5" s="25" customFormat="1" x14ac:dyDescent="0.25">
      <c r="C229" s="26"/>
      <c r="D229" s="26"/>
      <c r="E229" s="27"/>
    </row>
    <row r="230" spans="3:5" s="25" customFormat="1" x14ac:dyDescent="0.25">
      <c r="C230" s="26"/>
      <c r="D230" s="26"/>
      <c r="E230" s="27"/>
    </row>
    <row r="231" spans="3:5" s="25" customFormat="1" x14ac:dyDescent="0.25">
      <c r="C231" s="26"/>
      <c r="D231" s="26"/>
      <c r="E231" s="27"/>
    </row>
    <row r="232" spans="3:5" s="25" customFormat="1" x14ac:dyDescent="0.25">
      <c r="C232" s="26"/>
      <c r="D232" s="26"/>
      <c r="E232" s="27"/>
    </row>
    <row r="233" spans="3:5" s="25" customFormat="1" x14ac:dyDescent="0.25">
      <c r="C233" s="26"/>
      <c r="D233" s="26"/>
      <c r="E233" s="27"/>
    </row>
    <row r="234" spans="3:5" s="25" customFormat="1" x14ac:dyDescent="0.25">
      <c r="C234" s="26"/>
      <c r="D234" s="26"/>
      <c r="E234" s="27"/>
    </row>
    <row r="235" spans="3:5" s="25" customFormat="1" x14ac:dyDescent="0.25">
      <c r="C235" s="26"/>
      <c r="D235" s="26"/>
      <c r="E235" s="27"/>
    </row>
    <row r="236" spans="3:5" s="25" customFormat="1" x14ac:dyDescent="0.25">
      <c r="C236" s="26"/>
      <c r="D236" s="26"/>
      <c r="E236" s="27"/>
    </row>
    <row r="237" spans="3:5" s="25" customFormat="1" x14ac:dyDescent="0.25">
      <c r="C237" s="26"/>
      <c r="D237" s="26"/>
      <c r="E237" s="27"/>
    </row>
    <row r="238" spans="3:5" s="25" customFormat="1" x14ac:dyDescent="0.25">
      <c r="C238" s="26"/>
      <c r="D238" s="26"/>
      <c r="E238" s="27"/>
    </row>
    <row r="239" spans="3:5" s="25" customFormat="1" x14ac:dyDescent="0.25">
      <c r="C239" s="26"/>
      <c r="D239" s="26"/>
      <c r="E239" s="27"/>
    </row>
    <row r="240" spans="3:5" s="25" customFormat="1" x14ac:dyDescent="0.25">
      <c r="C240" s="26"/>
      <c r="D240" s="26"/>
      <c r="E240" s="27"/>
    </row>
    <row r="241" spans="3:5" s="25" customFormat="1" x14ac:dyDescent="0.25">
      <c r="C241" s="26"/>
      <c r="D241" s="26"/>
      <c r="E241" s="27"/>
    </row>
    <row r="242" spans="3:5" s="25" customFormat="1" x14ac:dyDescent="0.25">
      <c r="C242" s="26"/>
      <c r="D242" s="26"/>
      <c r="E242" s="27"/>
    </row>
    <row r="243" spans="3:5" s="25" customFormat="1" x14ac:dyDescent="0.25">
      <c r="C243" s="26"/>
      <c r="D243" s="26"/>
      <c r="E243" s="27"/>
    </row>
    <row r="244" spans="3:5" s="25" customFormat="1" x14ac:dyDescent="0.25">
      <c r="C244" s="26"/>
      <c r="D244" s="26"/>
      <c r="E244" s="27"/>
    </row>
    <row r="245" spans="3:5" s="25" customFormat="1" x14ac:dyDescent="0.25">
      <c r="C245" s="26"/>
      <c r="D245" s="26"/>
      <c r="E245" s="27"/>
    </row>
    <row r="246" spans="3:5" s="25" customFormat="1" x14ac:dyDescent="0.25">
      <c r="C246" s="26"/>
      <c r="D246" s="26"/>
      <c r="E246" s="27"/>
    </row>
    <row r="247" spans="3:5" s="25" customFormat="1" x14ac:dyDescent="0.25">
      <c r="C247" s="26"/>
      <c r="D247" s="26"/>
      <c r="E247" s="27"/>
    </row>
    <row r="248" spans="3:5" s="25" customFormat="1" x14ac:dyDescent="0.25">
      <c r="C248" s="26"/>
      <c r="D248" s="26"/>
      <c r="E248" s="27"/>
    </row>
    <row r="249" spans="3:5" s="25" customFormat="1" x14ac:dyDescent="0.25">
      <c r="C249" s="26"/>
      <c r="D249" s="26"/>
      <c r="E249" s="27"/>
    </row>
    <row r="250" spans="3:5" s="25" customFormat="1" x14ac:dyDescent="0.25">
      <c r="C250" s="26"/>
      <c r="D250" s="26"/>
      <c r="E250" s="27"/>
    </row>
    <row r="251" spans="3:5" s="25" customFormat="1" x14ac:dyDescent="0.25">
      <c r="C251" s="26"/>
      <c r="D251" s="26"/>
      <c r="E251" s="27"/>
    </row>
    <row r="252" spans="3:5" s="25" customFormat="1" x14ac:dyDescent="0.25">
      <c r="C252" s="26"/>
      <c r="D252" s="26"/>
      <c r="E252" s="27"/>
    </row>
    <row r="253" spans="3:5" s="25" customFormat="1" x14ac:dyDescent="0.25">
      <c r="C253" s="26"/>
      <c r="D253" s="26"/>
      <c r="E253" s="27"/>
    </row>
    <row r="254" spans="3:5" s="25" customFormat="1" x14ac:dyDescent="0.25">
      <c r="C254" s="26"/>
      <c r="D254" s="26"/>
      <c r="E254" s="27"/>
    </row>
    <row r="255" spans="3:5" s="25" customFormat="1" x14ac:dyDescent="0.25">
      <c r="C255" s="26"/>
      <c r="D255" s="26"/>
      <c r="E255" s="27"/>
    </row>
    <row r="256" spans="3:5" s="25" customFormat="1" x14ac:dyDescent="0.25">
      <c r="C256" s="26"/>
      <c r="D256" s="26"/>
      <c r="E256" s="27"/>
    </row>
    <row r="257" spans="3:5" s="25" customFormat="1" x14ac:dyDescent="0.25">
      <c r="C257" s="26"/>
      <c r="D257" s="26"/>
      <c r="E257" s="27"/>
    </row>
    <row r="258" spans="3:5" s="25" customFormat="1" x14ac:dyDescent="0.25">
      <c r="C258" s="26"/>
      <c r="D258" s="26"/>
      <c r="E258" s="27"/>
    </row>
    <row r="259" spans="3:5" s="25" customFormat="1" x14ac:dyDescent="0.25">
      <c r="C259" s="26"/>
      <c r="D259" s="26"/>
      <c r="E259" s="27"/>
    </row>
    <row r="260" spans="3:5" s="25" customFormat="1" x14ac:dyDescent="0.25">
      <c r="C260" s="26"/>
      <c r="D260" s="26"/>
      <c r="E260" s="27"/>
    </row>
    <row r="261" spans="3:5" s="25" customFormat="1" x14ac:dyDescent="0.25">
      <c r="C261" s="26"/>
      <c r="D261" s="26"/>
      <c r="E261" s="27"/>
    </row>
    <row r="262" spans="3:5" s="25" customFormat="1" x14ac:dyDescent="0.25">
      <c r="C262" s="26"/>
      <c r="D262" s="26"/>
      <c r="E262" s="27"/>
    </row>
    <row r="263" spans="3:5" s="25" customFormat="1" x14ac:dyDescent="0.25">
      <c r="C263" s="26"/>
      <c r="D263" s="26"/>
      <c r="E263" s="27"/>
    </row>
    <row r="264" spans="3:5" s="25" customFormat="1" x14ac:dyDescent="0.25">
      <c r="C264" s="26"/>
      <c r="D264" s="26"/>
      <c r="E264" s="27"/>
    </row>
    <row r="265" spans="3:5" s="25" customFormat="1" x14ac:dyDescent="0.25">
      <c r="C265" s="26"/>
      <c r="D265" s="26"/>
      <c r="E265" s="27"/>
    </row>
    <row r="266" spans="3:5" s="25" customFormat="1" x14ac:dyDescent="0.25">
      <c r="C266" s="26"/>
      <c r="D266" s="26"/>
      <c r="E266" s="27"/>
    </row>
    <row r="267" spans="3:5" s="25" customFormat="1" x14ac:dyDescent="0.25">
      <c r="C267" s="26"/>
      <c r="D267" s="26"/>
      <c r="E267" s="27"/>
    </row>
    <row r="268" spans="3:5" s="25" customFormat="1" x14ac:dyDescent="0.25">
      <c r="C268" s="26"/>
      <c r="D268" s="26"/>
      <c r="E268" s="27"/>
    </row>
    <row r="269" spans="3:5" s="25" customFormat="1" x14ac:dyDescent="0.25">
      <c r="C269" s="26"/>
      <c r="D269" s="26"/>
      <c r="E269" s="27"/>
    </row>
    <row r="270" spans="3:5" s="25" customFormat="1" x14ac:dyDescent="0.25">
      <c r="C270" s="26"/>
      <c r="D270" s="26"/>
      <c r="E270" s="27"/>
    </row>
    <row r="271" spans="3:5" s="25" customFormat="1" x14ac:dyDescent="0.25">
      <c r="C271" s="26"/>
      <c r="D271" s="26"/>
      <c r="E271" s="27"/>
    </row>
    <row r="272" spans="3:5" s="25" customFormat="1" x14ac:dyDescent="0.25">
      <c r="C272" s="26"/>
      <c r="D272" s="26"/>
      <c r="E272" s="27"/>
    </row>
    <row r="273" spans="3:5" s="25" customFormat="1" x14ac:dyDescent="0.25">
      <c r="C273" s="26"/>
      <c r="D273" s="26"/>
      <c r="E273" s="27"/>
    </row>
    <row r="274" spans="3:5" s="25" customFormat="1" x14ac:dyDescent="0.25">
      <c r="C274" s="26"/>
      <c r="D274" s="26"/>
      <c r="E274" s="27"/>
    </row>
    <row r="275" spans="3:5" s="25" customFormat="1" x14ac:dyDescent="0.25">
      <c r="C275" s="26"/>
      <c r="D275" s="26"/>
      <c r="E275" s="27"/>
    </row>
    <row r="276" spans="3:5" s="25" customFormat="1" x14ac:dyDescent="0.25">
      <c r="C276" s="26"/>
      <c r="D276" s="26"/>
      <c r="E276" s="27"/>
    </row>
    <row r="277" spans="3:5" s="25" customFormat="1" x14ac:dyDescent="0.25">
      <c r="C277" s="26"/>
      <c r="D277" s="26"/>
      <c r="E277" s="27"/>
    </row>
    <row r="278" spans="3:5" s="25" customFormat="1" x14ac:dyDescent="0.25">
      <c r="C278" s="26"/>
      <c r="D278" s="26"/>
      <c r="E278" s="27"/>
    </row>
    <row r="279" spans="3:5" s="25" customFormat="1" x14ac:dyDescent="0.25">
      <c r="C279" s="26"/>
      <c r="D279" s="26"/>
      <c r="E279" s="27"/>
    </row>
    <row r="280" spans="3:5" s="25" customFormat="1" x14ac:dyDescent="0.25">
      <c r="C280" s="26"/>
      <c r="D280" s="26"/>
      <c r="E280" s="27"/>
    </row>
    <row r="281" spans="3:5" s="25" customFormat="1" x14ac:dyDescent="0.25">
      <c r="C281" s="26"/>
      <c r="D281" s="26"/>
      <c r="E281" s="27"/>
    </row>
    <row r="282" spans="3:5" s="25" customFormat="1" x14ac:dyDescent="0.25">
      <c r="C282" s="26"/>
      <c r="D282" s="26"/>
      <c r="E282" s="27"/>
    </row>
    <row r="283" spans="3:5" s="25" customFormat="1" x14ac:dyDescent="0.25">
      <c r="C283" s="26"/>
      <c r="D283" s="26"/>
      <c r="E283" s="27"/>
    </row>
    <row r="284" spans="3:5" s="25" customFormat="1" x14ac:dyDescent="0.25">
      <c r="C284" s="26"/>
      <c r="D284" s="26"/>
      <c r="E284" s="27"/>
    </row>
    <row r="285" spans="3:5" s="25" customFormat="1" x14ac:dyDescent="0.25">
      <c r="C285" s="26"/>
      <c r="D285" s="26"/>
      <c r="E285" s="27"/>
    </row>
    <row r="286" spans="3:5" s="25" customFormat="1" x14ac:dyDescent="0.25">
      <c r="C286" s="26"/>
      <c r="D286" s="26"/>
      <c r="E286" s="27"/>
    </row>
    <row r="287" spans="3:5" s="25" customFormat="1" x14ac:dyDescent="0.25">
      <c r="C287" s="26"/>
      <c r="D287" s="26"/>
      <c r="E287" s="27"/>
    </row>
    <row r="288" spans="3:5" s="25" customFormat="1" x14ac:dyDescent="0.25">
      <c r="C288" s="26"/>
      <c r="D288" s="26"/>
      <c r="E288" s="27"/>
    </row>
    <row r="289" spans="3:5" s="25" customFormat="1" x14ac:dyDescent="0.25">
      <c r="C289" s="26"/>
      <c r="D289" s="26"/>
      <c r="E289" s="27"/>
    </row>
    <row r="290" spans="3:5" s="25" customFormat="1" x14ac:dyDescent="0.25">
      <c r="C290" s="26"/>
      <c r="D290" s="26"/>
      <c r="E290" s="27"/>
    </row>
    <row r="291" spans="3:5" s="25" customFormat="1" x14ac:dyDescent="0.25">
      <c r="C291" s="26"/>
      <c r="D291" s="26"/>
      <c r="E291" s="27"/>
    </row>
    <row r="292" spans="3:5" s="25" customFormat="1" x14ac:dyDescent="0.25">
      <c r="C292" s="26"/>
      <c r="D292" s="26"/>
      <c r="E292" s="27"/>
    </row>
    <row r="293" spans="3:5" s="25" customFormat="1" x14ac:dyDescent="0.25">
      <c r="C293" s="26"/>
      <c r="D293" s="26"/>
      <c r="E293" s="27"/>
    </row>
    <row r="294" spans="3:5" s="25" customFormat="1" x14ac:dyDescent="0.25">
      <c r="C294" s="26"/>
      <c r="D294" s="26"/>
      <c r="E294" s="27"/>
    </row>
    <row r="295" spans="3:5" s="25" customFormat="1" x14ac:dyDescent="0.25">
      <c r="C295" s="26"/>
      <c r="D295" s="26"/>
      <c r="E295" s="27"/>
    </row>
    <row r="296" spans="3:5" s="25" customFormat="1" x14ac:dyDescent="0.25">
      <c r="C296" s="26"/>
      <c r="D296" s="26"/>
      <c r="E296" s="27"/>
    </row>
    <row r="297" spans="3:5" s="25" customFormat="1" x14ac:dyDescent="0.25">
      <c r="C297" s="26"/>
      <c r="D297" s="26"/>
      <c r="E297" s="27"/>
    </row>
    <row r="298" spans="3:5" s="25" customFormat="1" x14ac:dyDescent="0.25">
      <c r="C298" s="26"/>
      <c r="D298" s="26"/>
      <c r="E298" s="27"/>
    </row>
    <row r="299" spans="3:5" s="25" customFormat="1" x14ac:dyDescent="0.25">
      <c r="C299" s="26"/>
      <c r="D299" s="26"/>
      <c r="E299" s="27"/>
    </row>
    <row r="300" spans="3:5" s="25" customFormat="1" x14ac:dyDescent="0.25">
      <c r="C300" s="26"/>
      <c r="D300" s="26"/>
      <c r="E300" s="27"/>
    </row>
  </sheetData>
  <autoFilter ref="A2:E2" xr:uid="{00000000-0001-0000-0000-000000000000}"/>
  <mergeCells count="7">
    <mergeCell ref="A22:A23"/>
    <mergeCell ref="D22:D23"/>
    <mergeCell ref="A3:A7"/>
    <mergeCell ref="A8:A21"/>
    <mergeCell ref="A1:E1"/>
    <mergeCell ref="D3:D7"/>
    <mergeCell ref="D8:D2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4BA03-B49D-4D17-8800-69D9BD1FAAC6}">
  <dimension ref="A1:C24"/>
  <sheetViews>
    <sheetView workbookViewId="0">
      <selection activeCell="B27" sqref="B27"/>
    </sheetView>
  </sheetViews>
  <sheetFormatPr defaultRowHeight="15" x14ac:dyDescent="0.25"/>
  <cols>
    <col min="1" max="1" width="43.140625" customWidth="1"/>
    <col min="2" max="2" width="11.42578125" customWidth="1"/>
    <col min="3" max="3" width="15.5703125" style="37" customWidth="1"/>
  </cols>
  <sheetData>
    <row r="1" spans="1:3" ht="16.5" thickTop="1" thickBot="1" x14ac:dyDescent="0.3">
      <c r="A1" s="2" t="s">
        <v>1</v>
      </c>
      <c r="B1" s="2" t="s">
        <v>53</v>
      </c>
      <c r="C1" s="40" t="s">
        <v>54</v>
      </c>
    </row>
    <row r="2" spans="1:3" ht="15.75" thickTop="1" x14ac:dyDescent="0.25">
      <c r="A2" s="41" t="s">
        <v>37</v>
      </c>
      <c r="B2" s="42">
        <f>VLOOKUP(A2,'ECN Tasks - PN,MPN,Route,BOM'!B$2:C$23,2,FALSE)</f>
        <v>250</v>
      </c>
      <c r="C2" s="43">
        <f>B2/B$24</f>
        <v>0.21186440677966101</v>
      </c>
    </row>
    <row r="3" spans="1:3" ht="30" x14ac:dyDescent="0.25">
      <c r="A3" s="41" t="s">
        <v>10</v>
      </c>
      <c r="B3" s="42">
        <f>VLOOKUP(A3,'ECN Tasks - PN,MPN,Route,BOM'!B$2:C$23,2,FALSE)</f>
        <v>120</v>
      </c>
      <c r="C3" s="43">
        <f>B3/B$24+C2</f>
        <v>0.3135593220338983</v>
      </c>
    </row>
    <row r="4" spans="1:3" ht="45" x14ac:dyDescent="0.25">
      <c r="A4" s="41" t="s">
        <v>51</v>
      </c>
      <c r="B4" s="42">
        <f>VLOOKUP(A4,'ECN Tasks - PN,MPN,Route,BOM'!B$2:C$23,2,FALSE)</f>
        <v>120</v>
      </c>
      <c r="C4" s="43">
        <f t="shared" ref="C4:C22" si="0">B4/B$24+C3</f>
        <v>0.4152542372881356</v>
      </c>
    </row>
    <row r="5" spans="1:3" x14ac:dyDescent="0.25">
      <c r="A5" s="41" t="s">
        <v>15</v>
      </c>
      <c r="B5" s="42">
        <f>VLOOKUP(A5,'ECN Tasks - PN,MPN,Route,BOM'!B$2:C$23,2,FALSE)</f>
        <v>120</v>
      </c>
      <c r="C5" s="43">
        <f t="shared" si="0"/>
        <v>0.51694915254237284</v>
      </c>
    </row>
    <row r="6" spans="1:3" x14ac:dyDescent="0.25">
      <c r="A6" s="41" t="s">
        <v>9</v>
      </c>
      <c r="B6" s="42">
        <f>VLOOKUP(A6,'ECN Tasks - PN,MPN,Route,BOM'!B$2:C$23,2,FALSE)</f>
        <v>120</v>
      </c>
      <c r="C6" s="43">
        <f t="shared" si="0"/>
        <v>0.61864406779661008</v>
      </c>
    </row>
    <row r="7" spans="1:3" x14ac:dyDescent="0.25">
      <c r="A7" s="41" t="s">
        <v>36</v>
      </c>
      <c r="B7" s="42">
        <f>VLOOKUP(A7,'ECN Tasks - PN,MPN,Route,BOM'!B$2:C$23,2,FALSE)</f>
        <v>60</v>
      </c>
      <c r="C7" s="43">
        <f t="shared" si="0"/>
        <v>0.6694915254237287</v>
      </c>
    </row>
    <row r="8" spans="1:3" ht="30" x14ac:dyDescent="0.25">
      <c r="A8" s="41" t="s">
        <v>25</v>
      </c>
      <c r="B8" s="42">
        <f>VLOOKUP(A8,'ECN Tasks - PN,MPN,Route,BOM'!B$2:C$23,2,FALSE)</f>
        <v>60</v>
      </c>
      <c r="C8" s="43">
        <f t="shared" si="0"/>
        <v>0.72033898305084731</v>
      </c>
    </row>
    <row r="9" spans="1:3" x14ac:dyDescent="0.25">
      <c r="A9" s="41" t="s">
        <v>2</v>
      </c>
      <c r="B9" s="42">
        <f>VLOOKUP(A9,'ECN Tasks - PN,MPN,Route,BOM'!B$2:C$23,2,FALSE)</f>
        <v>30</v>
      </c>
      <c r="C9" s="43">
        <f t="shared" si="0"/>
        <v>0.74576271186440668</v>
      </c>
    </row>
    <row r="10" spans="1:3" x14ac:dyDescent="0.25">
      <c r="A10" s="41" t="s">
        <v>3</v>
      </c>
      <c r="B10" s="42">
        <f>VLOOKUP(A10,'ECN Tasks - PN,MPN,Route,BOM'!B$2:C$23,2,FALSE)</f>
        <v>30</v>
      </c>
      <c r="C10" s="43">
        <f t="shared" si="0"/>
        <v>0.77118644067796605</v>
      </c>
    </row>
    <row r="11" spans="1:3" x14ac:dyDescent="0.25">
      <c r="A11" s="41" t="s">
        <v>13</v>
      </c>
      <c r="B11" s="42">
        <f>VLOOKUP(A11,'ECN Tasks - PN,MPN,Route,BOM'!B$2:C$23,2,FALSE)</f>
        <v>30</v>
      </c>
      <c r="C11" s="43">
        <f t="shared" si="0"/>
        <v>0.79661016949152541</v>
      </c>
    </row>
    <row r="12" spans="1:3" x14ac:dyDescent="0.25">
      <c r="A12" s="33" t="s">
        <v>34</v>
      </c>
      <c r="B12" s="38">
        <f>VLOOKUP(A12,'ECN Tasks - PN,MPN,Route,BOM'!B$2:C$23,2,FALSE)</f>
        <v>30</v>
      </c>
      <c r="C12" s="39">
        <f t="shared" si="0"/>
        <v>0.82203389830508478</v>
      </c>
    </row>
    <row r="13" spans="1:3" x14ac:dyDescent="0.25">
      <c r="A13" s="34" t="s">
        <v>19</v>
      </c>
      <c r="B13" s="38">
        <f>VLOOKUP(A13,'ECN Tasks - PN,MPN,Route,BOM'!B$2:C$23,2,FALSE)</f>
        <v>30</v>
      </c>
      <c r="C13" s="39">
        <f t="shared" si="0"/>
        <v>0.84745762711864414</v>
      </c>
    </row>
    <row r="14" spans="1:3" x14ac:dyDescent="0.25">
      <c r="A14" s="34" t="s">
        <v>24</v>
      </c>
      <c r="B14" s="38">
        <f>VLOOKUP(A14,'ECN Tasks - PN,MPN,Route,BOM'!B$2:C$23,2,FALSE)</f>
        <v>30</v>
      </c>
      <c r="C14" s="39">
        <f t="shared" si="0"/>
        <v>0.87288135593220351</v>
      </c>
    </row>
    <row r="15" spans="1:3" x14ac:dyDescent="0.25">
      <c r="A15" s="35" t="s">
        <v>29</v>
      </c>
      <c r="B15" s="38">
        <f>VLOOKUP(A15,'ECN Tasks - PN,MPN,Route,BOM'!B$2:C$23,2,FALSE)</f>
        <v>30</v>
      </c>
      <c r="C15" s="39">
        <f t="shared" si="0"/>
        <v>0.89830508474576287</v>
      </c>
    </row>
    <row r="16" spans="1:3" ht="30" x14ac:dyDescent="0.25">
      <c r="A16" s="32" t="s">
        <v>7</v>
      </c>
      <c r="B16" s="38">
        <f>VLOOKUP(A16,'ECN Tasks - PN,MPN,Route,BOM'!B$2:C$23,2,FALSE)</f>
        <v>30</v>
      </c>
      <c r="C16" s="39">
        <f t="shared" si="0"/>
        <v>0.92372881355932224</v>
      </c>
    </row>
    <row r="17" spans="1:3" x14ac:dyDescent="0.25">
      <c r="A17" s="36" t="s">
        <v>56</v>
      </c>
      <c r="B17" s="38">
        <f>VLOOKUP(A17,'ECN Tasks - PN,MPN,Route,BOM'!B$2:C$23,2,FALSE)</f>
        <v>30</v>
      </c>
      <c r="C17" s="39">
        <f t="shared" si="0"/>
        <v>0.9491525423728816</v>
      </c>
    </row>
    <row r="18" spans="1:3" x14ac:dyDescent="0.25">
      <c r="A18" s="35" t="s">
        <v>17</v>
      </c>
      <c r="B18" s="38">
        <f>VLOOKUP(A18,'ECN Tasks - PN,MPN,Route,BOM'!B$2:C$23,2,FALSE)</f>
        <v>15</v>
      </c>
      <c r="C18" s="39">
        <f t="shared" si="0"/>
        <v>0.96186440677966123</v>
      </c>
    </row>
    <row r="19" spans="1:3" x14ac:dyDescent="0.25">
      <c r="A19" s="35" t="s">
        <v>20</v>
      </c>
      <c r="B19" s="38">
        <f>VLOOKUP(A19,'ECN Tasks - PN,MPN,Route,BOM'!B$2:C$23,2,FALSE)</f>
        <v>15</v>
      </c>
      <c r="C19" s="39">
        <f t="shared" si="0"/>
        <v>0.97457627118644086</v>
      </c>
    </row>
    <row r="20" spans="1:3" x14ac:dyDescent="0.25">
      <c r="A20" s="34" t="s">
        <v>21</v>
      </c>
      <c r="B20" s="38">
        <f>VLOOKUP(A20,'ECN Tasks - PN,MPN,Route,BOM'!B$2:C$23,2,FALSE)</f>
        <v>15</v>
      </c>
      <c r="C20" s="39">
        <f t="shared" si="0"/>
        <v>0.98728813559322048</v>
      </c>
    </row>
    <row r="21" spans="1:3" x14ac:dyDescent="0.25">
      <c r="A21" s="35" t="s">
        <v>23</v>
      </c>
      <c r="B21" s="38">
        <f>VLOOKUP(A21,'ECN Tasks - PN,MPN,Route,BOM'!B$2:C$23,2,FALSE)</f>
        <v>15</v>
      </c>
      <c r="C21" s="39">
        <f t="shared" si="0"/>
        <v>1.0000000000000002</v>
      </c>
    </row>
    <row r="22" spans="1:3" x14ac:dyDescent="0.25">
      <c r="A22" s="31" t="s">
        <v>4</v>
      </c>
      <c r="B22" s="38">
        <f>VLOOKUP(A22,'ECN Tasks - PN,MPN,Route,BOM'!B$2:C$23,2,FALSE)</f>
        <v>0</v>
      </c>
      <c r="C22" s="39">
        <f t="shared" si="0"/>
        <v>1.0000000000000002</v>
      </c>
    </row>
    <row r="24" spans="1:3" x14ac:dyDescent="0.25">
      <c r="A24" t="s">
        <v>42</v>
      </c>
      <c r="B24">
        <f>SUM(B2:B22)</f>
        <v>1180</v>
      </c>
    </row>
  </sheetData>
  <autoFilter ref="A1:C1" xr:uid="{D8F4BA03-B49D-4D17-8800-69D9BD1FAAC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Charts</vt:lpstr>
      </vt:variant>
      <vt:variant>
        <vt:i4>1</vt:i4>
      </vt:variant>
    </vt:vector>
  </HeadingPairs>
  <TitlesOfParts>
    <vt:vector size="3" baseType="lpstr">
      <vt:lpstr>ECN Tasks - PN,MPN,Route,BOM</vt:lpstr>
      <vt:lpstr>PARETO</vt:lpstr>
      <vt:lpstr>PARETO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Niculita</dc:creator>
  <cp:lastModifiedBy>Nick Niculita</cp:lastModifiedBy>
  <dcterms:created xsi:type="dcterms:W3CDTF">2015-06-05T18:17:20Z</dcterms:created>
  <dcterms:modified xsi:type="dcterms:W3CDTF">2026-04-29T01:01:38Z</dcterms:modified>
</cp:coreProperties>
</file>